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nas Normais\cardosop\BPMN_Risk_Artigo\results\"/>
    </mc:Choice>
  </mc:AlternateContent>
  <xr:revisionPtr revIDLastSave="0" documentId="8_{7BC8DEE5-455D-4DEA-BA62-EADEF587C5DF}" xr6:coauthVersionLast="47" xr6:coauthVersionMax="47" xr10:uidLastSave="{00000000-0000-0000-0000-000000000000}"/>
  <bookViews>
    <workbookView xWindow="-120" yWindow="-120" windowWidth="29040" windowHeight="15840" xr2:uid="{B0E92A7E-DEBD-40C2-BF5E-8EA9580CF257}"/>
  </bookViews>
  <sheets>
    <sheet name="P3_30_summary" sheetId="1" r:id="rId1"/>
  </sheets>
  <calcPr calcId="0"/>
</workbook>
</file>

<file path=xl/calcChain.xml><?xml version="1.0" encoding="utf-8"?>
<calcChain xmlns="http://schemas.openxmlformats.org/spreadsheetml/2006/main">
  <c r="Z2" i="1" l="1"/>
  <c r="Y2" i="1"/>
  <c r="X2" i="1"/>
  <c r="W2" i="1"/>
  <c r="V2" i="1"/>
</calcChain>
</file>

<file path=xl/sharedStrings.xml><?xml version="1.0" encoding="utf-8"?>
<sst xmlns="http://schemas.openxmlformats.org/spreadsheetml/2006/main" count="105" uniqueCount="55">
  <si>
    <t>Name</t>
  </si>
  <si>
    <t>ExecutTime</t>
  </si>
  <si>
    <t>StabIt</t>
  </si>
  <si>
    <t>TotalIt</t>
  </si>
  <si>
    <t>#Participants</t>
  </si>
  <si>
    <t>#MutNodes</t>
  </si>
  <si>
    <t>#Nodes</t>
  </si>
  <si>
    <t>#Splits</t>
  </si>
  <si>
    <t>Init#Comms</t>
  </si>
  <si>
    <t>Optimal#Comms</t>
  </si>
  <si>
    <t>#OptimalSols</t>
  </si>
  <si>
    <t>InitRisk</t>
  </si>
  <si>
    <t>InitCost</t>
  </si>
  <si>
    <t>OptimalRisk</t>
  </si>
  <si>
    <t>OptimalCost</t>
  </si>
  <si>
    <t>#Configs</t>
  </si>
  <si>
    <t>RiskDist</t>
  </si>
  <si>
    <t>CostDist</t>
  </si>
  <si>
    <t>MonetaryTradeoff</t>
  </si>
  <si>
    <t>P3_30_1</t>
  </si>
  <si>
    <t>P3_30_10</t>
  </si>
  <si>
    <t>P3_30_11</t>
  </si>
  <si>
    <t>P3_30_12</t>
  </si>
  <si>
    <t>P3_30_13</t>
  </si>
  <si>
    <t>P3_30_14</t>
  </si>
  <si>
    <t>P3_30_15</t>
  </si>
  <si>
    <t>P3_30_16</t>
  </si>
  <si>
    <t>P3_30_17</t>
  </si>
  <si>
    <t>P3_30_18</t>
  </si>
  <si>
    <t>P3_30_19</t>
  </si>
  <si>
    <t>P3_30_2</t>
  </si>
  <si>
    <t>P3_30_20</t>
  </si>
  <si>
    <t>P3_30_21</t>
  </si>
  <si>
    <t>P3_30_22</t>
  </si>
  <si>
    <t>P3_30_23</t>
  </si>
  <si>
    <t>P3_30_24</t>
  </si>
  <si>
    <t>P3_30_25</t>
  </si>
  <si>
    <t>P3_30_26</t>
  </si>
  <si>
    <t>P3_30_27</t>
  </si>
  <si>
    <t>P3_30_28</t>
  </si>
  <si>
    <t>P3_30_29</t>
  </si>
  <si>
    <t>P3_30_3</t>
  </si>
  <si>
    <t>P3_30_30</t>
  </si>
  <si>
    <t>P3_30_4</t>
  </si>
  <si>
    <t>P3_30_5</t>
  </si>
  <si>
    <t>P3_30_6</t>
  </si>
  <si>
    <t>P3_30_7</t>
  </si>
  <si>
    <t>P3_30_8</t>
  </si>
  <si>
    <t>P3_30_9</t>
  </si>
  <si>
    <t>Tempo médio</t>
  </si>
  <si>
    <t>Desvio padrão</t>
  </si>
  <si>
    <t>Média estabilizar</t>
  </si>
  <si>
    <t>2 sols</t>
  </si>
  <si>
    <t>3+sols</t>
  </si>
  <si>
    <t>Sol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</si>
</sst>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B2C02-6D16-4BC3-911D-58E69E0C566D}">
  <dimension ref="A1:AA81"/>
  <sheetViews>
    <sheetView tabSelected="1" workbookViewId="0">
      <selection activeCell="Z3" sqref="Z3"/>
    </sheetView>
  </sheetViews>
  <sheetFormatPr defaultRowHeight="15" x14ac:dyDescent="0.25"/>
  <cols>
    <col min="22" max="22" width="13.140625" bestFit="1" customWidth="1"/>
    <col min="23" max="23" width="13.85546875" bestFit="1" customWidth="1"/>
    <col min="24" max="24" width="16.28515625" bestFit="1" customWidth="1"/>
    <col min="25" max="25" width="6.140625" bestFit="1" customWidth="1"/>
    <col min="26" max="26" width="6.7109375" bestFit="1" customWidth="1"/>
    <col min="27" max="27" width="7.855468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</row>
    <row r="2" spans="1:27" x14ac:dyDescent="0.25">
      <c r="A2" t="s">
        <v>19</v>
      </c>
      <c r="B2">
        <v>38154.400000000001</v>
      </c>
      <c r="C2">
        <v>46697.8</v>
      </c>
      <c r="D2">
        <v>138143</v>
      </c>
      <c r="E2">
        <v>3</v>
      </c>
      <c r="F2">
        <v>30</v>
      </c>
      <c r="G2">
        <v>57</v>
      </c>
      <c r="H2">
        <v>3</v>
      </c>
      <c r="I2">
        <v>50</v>
      </c>
      <c r="J2">
        <v>70</v>
      </c>
      <c r="K2">
        <v>1</v>
      </c>
      <c r="L2">
        <v>8127.5644086767597</v>
      </c>
      <c r="M2">
        <v>251.979875999999</v>
      </c>
      <c r="N2">
        <v>8127.5644086767597</v>
      </c>
      <c r="O2">
        <v>213.25561299999899</v>
      </c>
      <c r="P2">
        <v>6</v>
      </c>
      <c r="Q2">
        <v>0</v>
      </c>
      <c r="R2">
        <v>0</v>
      </c>
      <c r="S2">
        <v>-6.51022297789281E-2</v>
      </c>
      <c r="V2">
        <f>SUM(B2,B3,B7,B14,B19,B21,B26,B27,B31,B33,B34,B36,B37,B38,B39,B41,B45,B53,B54,B57,B58,B59,B60,B64,B67,B69,B71,B75,B77,B80)/30</f>
        <v>34232.253333333334</v>
      </c>
      <c r="W2">
        <f>_xlfn.STDEV.P(B2,B3,B7,B14,B19,B21,B26,B27,B31,B33,B34,B36,B37,B38,B39,B41,B45,B53,B54,B57,B58,B59,B60,B64,B67,B69,B71,B75,B77,B80)</f>
        <v>6999.4673656277928</v>
      </c>
      <c r="X2">
        <f>SUM(C2,C3,C7,C14,C19,C21,C26,C27,C31,C33,C34,C36,C37,C38,C39,C41,C45,C53,C54,C57,C58,C59,C60,C64,C67,C69,C71,C75,C77,C80)/30</f>
        <v>63086.186666666668</v>
      </c>
      <c r="Y2">
        <f>8/30</f>
        <v>0.26666666666666666</v>
      </c>
      <c r="Z2">
        <f>12/30</f>
        <v>0.4</v>
      </c>
      <c r="AA2">
        <v>8</v>
      </c>
    </row>
    <row r="3" spans="1:27" x14ac:dyDescent="0.25">
      <c r="A3" t="s">
        <v>20</v>
      </c>
      <c r="B3">
        <v>36110.699999999997</v>
      </c>
      <c r="C3">
        <v>115960.7</v>
      </c>
      <c r="D3">
        <v>138143</v>
      </c>
      <c r="E3">
        <v>3</v>
      </c>
      <c r="F3">
        <v>30</v>
      </c>
      <c r="G3">
        <v>52</v>
      </c>
      <c r="H3">
        <v>2</v>
      </c>
      <c r="I3">
        <v>48</v>
      </c>
      <c r="J3">
        <v>46</v>
      </c>
      <c r="K3">
        <v>4</v>
      </c>
      <c r="L3">
        <v>3928.1137884729301</v>
      </c>
      <c r="M3">
        <v>335.77076</v>
      </c>
      <c r="N3">
        <v>2922.6936190919</v>
      </c>
      <c r="O3">
        <v>335.40245099999999</v>
      </c>
      <c r="P3">
        <v>1</v>
      </c>
      <c r="Q3">
        <v>0</v>
      </c>
      <c r="R3">
        <v>0</v>
      </c>
      <c r="S3">
        <v>-3.70398591372985E-2</v>
      </c>
    </row>
    <row r="4" spans="1:27" x14ac:dyDescent="0.25">
      <c r="A4" t="s">
        <v>20</v>
      </c>
      <c r="B4">
        <v>36110.699999999997</v>
      </c>
      <c r="C4">
        <v>115960.7</v>
      </c>
      <c r="D4">
        <v>138143</v>
      </c>
      <c r="E4">
        <v>3</v>
      </c>
      <c r="F4">
        <v>30</v>
      </c>
      <c r="G4">
        <v>52</v>
      </c>
      <c r="H4">
        <v>2</v>
      </c>
      <c r="I4">
        <v>48</v>
      </c>
      <c r="J4">
        <v>62</v>
      </c>
      <c r="K4">
        <v>4</v>
      </c>
      <c r="L4">
        <v>3928.1137884729301</v>
      </c>
      <c r="M4">
        <v>335.77076</v>
      </c>
      <c r="N4">
        <v>2726.3083808173501</v>
      </c>
      <c r="O4">
        <v>384.23171100000002</v>
      </c>
      <c r="P4">
        <v>1</v>
      </c>
      <c r="Q4">
        <v>7.1060599102446397E-3</v>
      </c>
      <c r="R4">
        <v>8.7427393765955694E-2</v>
      </c>
      <c r="S4">
        <v>-4.4145919047543197E-2</v>
      </c>
    </row>
    <row r="5" spans="1:27" x14ac:dyDescent="0.25">
      <c r="A5" t="s">
        <v>20</v>
      </c>
      <c r="B5">
        <v>36110.699999999997</v>
      </c>
      <c r="C5">
        <v>115960.7</v>
      </c>
      <c r="D5">
        <v>138143</v>
      </c>
      <c r="E5">
        <v>3</v>
      </c>
      <c r="F5">
        <v>30</v>
      </c>
      <c r="G5">
        <v>52</v>
      </c>
      <c r="H5">
        <v>2</v>
      </c>
      <c r="I5">
        <v>48</v>
      </c>
      <c r="J5">
        <v>56</v>
      </c>
      <c r="K5">
        <v>4</v>
      </c>
      <c r="L5">
        <v>3928.1137884729301</v>
      </c>
      <c r="M5">
        <v>335.77076</v>
      </c>
      <c r="N5">
        <v>2667.5857670812002</v>
      </c>
      <c r="O5">
        <v>419.80674099999999</v>
      </c>
      <c r="P5">
        <v>1</v>
      </c>
      <c r="Q5">
        <v>2.12483593452113E-3</v>
      </c>
      <c r="R5">
        <v>6.3696073953315696E-2</v>
      </c>
      <c r="S5">
        <v>4.1156638783891399E-2</v>
      </c>
    </row>
    <row r="6" spans="1:27" x14ac:dyDescent="0.25">
      <c r="A6" t="s">
        <v>20</v>
      </c>
      <c r="B6">
        <v>36110.699999999997</v>
      </c>
      <c r="C6">
        <v>115960.7</v>
      </c>
      <c r="D6">
        <v>138143</v>
      </c>
      <c r="E6">
        <v>3</v>
      </c>
      <c r="F6">
        <v>30</v>
      </c>
      <c r="G6">
        <v>52</v>
      </c>
      <c r="H6">
        <v>2</v>
      </c>
      <c r="I6">
        <v>48</v>
      </c>
      <c r="J6">
        <v>60</v>
      </c>
      <c r="K6">
        <v>4</v>
      </c>
      <c r="L6">
        <v>3928.1137884729301</v>
      </c>
      <c r="M6">
        <v>335.77076</v>
      </c>
      <c r="N6">
        <v>2615.2563938342901</v>
      </c>
      <c r="O6">
        <v>419.91325399999999</v>
      </c>
      <c r="P6">
        <v>1</v>
      </c>
      <c r="Q6">
        <v>1.8935010830001501E-3</v>
      </c>
      <c r="R6" s="1">
        <v>1.90708480779622E-4</v>
      </c>
      <c r="S6">
        <v>0.102959211654207</v>
      </c>
    </row>
    <row r="7" spans="1:27" x14ac:dyDescent="0.25">
      <c r="A7" t="s">
        <v>21</v>
      </c>
      <c r="B7">
        <v>52592.9</v>
      </c>
      <c r="C7">
        <v>115972.6</v>
      </c>
      <c r="D7">
        <v>138143</v>
      </c>
      <c r="E7">
        <v>3</v>
      </c>
      <c r="F7">
        <v>30</v>
      </c>
      <c r="G7">
        <v>52</v>
      </c>
      <c r="H7">
        <v>3</v>
      </c>
      <c r="I7">
        <v>50</v>
      </c>
      <c r="J7">
        <v>50</v>
      </c>
      <c r="K7">
        <v>7</v>
      </c>
      <c r="L7">
        <v>9997.0586139178395</v>
      </c>
      <c r="M7">
        <v>343.55685499999902</v>
      </c>
      <c r="N7">
        <v>9997.0586139178395</v>
      </c>
      <c r="O7">
        <v>343.55685499999902</v>
      </c>
      <c r="P7">
        <v>3</v>
      </c>
      <c r="Q7">
        <v>0</v>
      </c>
      <c r="R7">
        <v>0</v>
      </c>
      <c r="S7">
        <v>0</v>
      </c>
    </row>
    <row r="8" spans="1:27" x14ac:dyDescent="0.25">
      <c r="A8" t="s">
        <v>21</v>
      </c>
      <c r="B8">
        <v>52592.9</v>
      </c>
      <c r="C8">
        <v>115972.6</v>
      </c>
      <c r="D8">
        <v>138143</v>
      </c>
      <c r="E8">
        <v>3</v>
      </c>
      <c r="F8">
        <v>30</v>
      </c>
      <c r="G8">
        <v>52</v>
      </c>
      <c r="H8">
        <v>3</v>
      </c>
      <c r="I8">
        <v>50</v>
      </c>
      <c r="J8">
        <v>52</v>
      </c>
      <c r="K8">
        <v>7</v>
      </c>
      <c r="L8">
        <v>9997.0586139178395</v>
      </c>
      <c r="M8">
        <v>343.55685499999902</v>
      </c>
      <c r="N8">
        <v>9988.0143930436407</v>
      </c>
      <c r="O8">
        <v>358.50915799999899</v>
      </c>
      <c r="P8">
        <v>1</v>
      </c>
      <c r="Q8" s="1">
        <v>3.8661988263888298E-4</v>
      </c>
      <c r="R8">
        <v>2.5930786327564501E-2</v>
      </c>
      <c r="S8" s="1">
        <v>-3.8661988263888298E-4</v>
      </c>
    </row>
    <row r="9" spans="1:27" x14ac:dyDescent="0.25">
      <c r="A9" t="s">
        <v>21</v>
      </c>
      <c r="B9">
        <v>52592.9</v>
      </c>
      <c r="C9">
        <v>115972.6</v>
      </c>
      <c r="D9">
        <v>138143</v>
      </c>
      <c r="E9">
        <v>3</v>
      </c>
      <c r="F9">
        <v>30</v>
      </c>
      <c r="G9">
        <v>52</v>
      </c>
      <c r="H9">
        <v>3</v>
      </c>
      <c r="I9">
        <v>50</v>
      </c>
      <c r="J9">
        <v>46</v>
      </c>
      <c r="K9">
        <v>7</v>
      </c>
      <c r="L9">
        <v>9997.0586139178395</v>
      </c>
      <c r="M9">
        <v>343.55685499999902</v>
      </c>
      <c r="N9">
        <v>9101.9811831661591</v>
      </c>
      <c r="O9">
        <v>358.64091599999898</v>
      </c>
      <c r="P9">
        <v>1</v>
      </c>
      <c r="Q9">
        <v>3.78759055514011E-2</v>
      </c>
      <c r="R9" s="1">
        <v>2.28499151264327E-4</v>
      </c>
      <c r="S9">
        <v>-1.23317391064755E-2</v>
      </c>
    </row>
    <row r="10" spans="1:27" x14ac:dyDescent="0.25">
      <c r="A10" t="s">
        <v>21</v>
      </c>
      <c r="B10">
        <v>52592.9</v>
      </c>
      <c r="C10">
        <v>115972.6</v>
      </c>
      <c r="D10">
        <v>138143</v>
      </c>
      <c r="E10">
        <v>3</v>
      </c>
      <c r="F10">
        <v>30</v>
      </c>
      <c r="G10">
        <v>52</v>
      </c>
      <c r="H10">
        <v>3</v>
      </c>
      <c r="I10">
        <v>50</v>
      </c>
      <c r="J10">
        <v>44</v>
      </c>
      <c r="K10">
        <v>7</v>
      </c>
      <c r="L10">
        <v>9997.0586139178395</v>
      </c>
      <c r="M10">
        <v>343.55685499999902</v>
      </c>
      <c r="N10">
        <v>8991.2986631185304</v>
      </c>
      <c r="O10">
        <v>362.198025999999</v>
      </c>
      <c r="P10">
        <v>1</v>
      </c>
      <c r="Q10">
        <v>4.7314261235137899E-3</v>
      </c>
      <c r="R10">
        <v>6.1688596969739998E-3</v>
      </c>
      <c r="S10">
        <v>-1.68346660787249E-2</v>
      </c>
    </row>
    <row r="11" spans="1:27" x14ac:dyDescent="0.25">
      <c r="A11" t="s">
        <v>21</v>
      </c>
      <c r="B11">
        <v>52592.9</v>
      </c>
      <c r="C11">
        <v>115972.6</v>
      </c>
      <c r="D11">
        <v>138143</v>
      </c>
      <c r="E11">
        <v>3</v>
      </c>
      <c r="F11">
        <v>30</v>
      </c>
      <c r="G11">
        <v>52</v>
      </c>
      <c r="H11">
        <v>3</v>
      </c>
      <c r="I11">
        <v>50</v>
      </c>
      <c r="J11">
        <v>52</v>
      </c>
      <c r="K11">
        <v>7</v>
      </c>
      <c r="L11">
        <v>9997.0586139178395</v>
      </c>
      <c r="M11">
        <v>343.55685499999902</v>
      </c>
      <c r="N11">
        <v>8840.5140931706992</v>
      </c>
      <c r="O11">
        <v>395.35399999999902</v>
      </c>
      <c r="P11">
        <v>2</v>
      </c>
      <c r="Q11">
        <v>6.44569759494917E-3</v>
      </c>
      <c r="R11">
        <v>5.75002043013896E-2</v>
      </c>
      <c r="S11">
        <v>-1.7111503976700099E-2</v>
      </c>
    </row>
    <row r="12" spans="1:27" x14ac:dyDescent="0.25">
      <c r="A12" t="s">
        <v>21</v>
      </c>
      <c r="B12">
        <v>52592.9</v>
      </c>
      <c r="C12">
        <v>115972.6</v>
      </c>
      <c r="D12">
        <v>138143</v>
      </c>
      <c r="E12">
        <v>3</v>
      </c>
      <c r="F12">
        <v>30</v>
      </c>
      <c r="G12">
        <v>52</v>
      </c>
      <c r="H12">
        <v>3</v>
      </c>
      <c r="I12">
        <v>50</v>
      </c>
      <c r="J12">
        <v>58</v>
      </c>
      <c r="K12">
        <v>7</v>
      </c>
      <c r="L12">
        <v>9997.0586139178395</v>
      </c>
      <c r="M12">
        <v>343.55685499999902</v>
      </c>
      <c r="N12">
        <v>8830.2285660683101</v>
      </c>
      <c r="O12">
        <v>399.541981999999</v>
      </c>
      <c r="P12">
        <v>2</v>
      </c>
      <c r="Q12" s="1">
        <v>4.3968290210066798E-4</v>
      </c>
      <c r="R12">
        <v>7.26293911952469E-3</v>
      </c>
      <c r="S12">
        <v>3.9949017422588801E-2</v>
      </c>
    </row>
    <row r="13" spans="1:27" x14ac:dyDescent="0.25">
      <c r="A13" t="s">
        <v>21</v>
      </c>
      <c r="B13">
        <v>52592.9</v>
      </c>
      <c r="C13">
        <v>115972.6</v>
      </c>
      <c r="D13">
        <v>138143</v>
      </c>
      <c r="E13">
        <v>3</v>
      </c>
      <c r="F13">
        <v>30</v>
      </c>
      <c r="G13">
        <v>52</v>
      </c>
      <c r="H13">
        <v>3</v>
      </c>
      <c r="I13">
        <v>50</v>
      </c>
      <c r="J13">
        <v>60</v>
      </c>
      <c r="K13">
        <v>7</v>
      </c>
      <c r="L13">
        <v>9997.0586139178395</v>
      </c>
      <c r="M13">
        <v>343.55685499999902</v>
      </c>
      <c r="N13">
        <v>8788.3190449489703</v>
      </c>
      <c r="O13">
        <v>434.58119499999901</v>
      </c>
      <c r="P13">
        <v>1</v>
      </c>
      <c r="Q13">
        <v>1.79153675722848E-3</v>
      </c>
      <c r="R13">
        <v>6.0766180660532298E-2</v>
      </c>
      <c r="S13">
        <v>4.5420419784885001E-2</v>
      </c>
    </row>
    <row r="14" spans="1:27" x14ac:dyDescent="0.25">
      <c r="A14" t="s">
        <v>22</v>
      </c>
      <c r="B14">
        <v>39881.9</v>
      </c>
      <c r="C14">
        <v>70824.5</v>
      </c>
      <c r="D14">
        <v>138143</v>
      </c>
      <c r="E14">
        <v>3</v>
      </c>
      <c r="F14">
        <v>30</v>
      </c>
      <c r="G14">
        <v>53</v>
      </c>
      <c r="H14">
        <v>3</v>
      </c>
      <c r="I14">
        <v>52</v>
      </c>
      <c r="J14">
        <v>52</v>
      </c>
      <c r="K14">
        <v>5</v>
      </c>
      <c r="L14">
        <v>5452.6501385537704</v>
      </c>
      <c r="M14">
        <v>364.02888300000001</v>
      </c>
      <c r="N14">
        <v>5452.6501385537704</v>
      </c>
      <c r="O14">
        <v>364.02888300000001</v>
      </c>
      <c r="P14">
        <v>3</v>
      </c>
      <c r="Q14">
        <v>0</v>
      </c>
      <c r="R14">
        <v>0</v>
      </c>
      <c r="S14">
        <v>0</v>
      </c>
    </row>
    <row r="15" spans="1:27" x14ac:dyDescent="0.25">
      <c r="A15" t="s">
        <v>22</v>
      </c>
      <c r="B15">
        <v>39881.9</v>
      </c>
      <c r="C15">
        <v>70824.5</v>
      </c>
      <c r="D15">
        <v>138143</v>
      </c>
      <c r="E15">
        <v>3</v>
      </c>
      <c r="F15">
        <v>30</v>
      </c>
      <c r="G15">
        <v>53</v>
      </c>
      <c r="H15">
        <v>3</v>
      </c>
      <c r="I15">
        <v>52</v>
      </c>
      <c r="J15">
        <v>64</v>
      </c>
      <c r="K15">
        <v>5</v>
      </c>
      <c r="L15">
        <v>5452.6501385537704</v>
      </c>
      <c r="M15">
        <v>364.02888300000001</v>
      </c>
      <c r="N15">
        <v>5298.1196460620404</v>
      </c>
      <c r="O15">
        <v>439.81944900000002</v>
      </c>
      <c r="P15">
        <v>1</v>
      </c>
      <c r="Q15">
        <v>5.6491892848587102E-3</v>
      </c>
      <c r="R15">
        <v>0.11758933248712999</v>
      </c>
      <c r="S15">
        <v>-5.6491892848587102E-3</v>
      </c>
    </row>
    <row r="16" spans="1:27" x14ac:dyDescent="0.25">
      <c r="A16" t="s">
        <v>22</v>
      </c>
      <c r="B16">
        <v>39881.9</v>
      </c>
      <c r="C16">
        <v>70824.5</v>
      </c>
      <c r="D16">
        <v>138143</v>
      </c>
      <c r="E16">
        <v>3</v>
      </c>
      <c r="F16">
        <v>30</v>
      </c>
      <c r="G16">
        <v>53</v>
      </c>
      <c r="H16">
        <v>3</v>
      </c>
      <c r="I16">
        <v>52</v>
      </c>
      <c r="J16">
        <v>56</v>
      </c>
      <c r="K16">
        <v>5</v>
      </c>
      <c r="L16">
        <v>5452.6501385537704</v>
      </c>
      <c r="M16">
        <v>364.02888300000001</v>
      </c>
      <c r="N16">
        <v>5064.1042462227497</v>
      </c>
      <c r="O16">
        <v>449.08877099999899</v>
      </c>
      <c r="P16">
        <v>2</v>
      </c>
      <c r="Q16">
        <v>8.5549283377507803E-3</v>
      </c>
      <c r="R16">
        <v>1.4381386023535701E-2</v>
      </c>
      <c r="S16">
        <v>0.103385214864521</v>
      </c>
    </row>
    <row r="17" spans="1:19" x14ac:dyDescent="0.25">
      <c r="A17" t="s">
        <v>22</v>
      </c>
      <c r="B17">
        <v>39881.9</v>
      </c>
      <c r="C17">
        <v>70824.5</v>
      </c>
      <c r="D17">
        <v>138143</v>
      </c>
      <c r="E17">
        <v>3</v>
      </c>
      <c r="F17">
        <v>30</v>
      </c>
      <c r="G17">
        <v>53</v>
      </c>
      <c r="H17">
        <v>3</v>
      </c>
      <c r="I17">
        <v>52</v>
      </c>
      <c r="J17">
        <v>60</v>
      </c>
      <c r="K17">
        <v>5</v>
      </c>
      <c r="L17">
        <v>5452.6501385537704</v>
      </c>
      <c r="M17">
        <v>364.02888300000001</v>
      </c>
      <c r="N17">
        <v>4850.7458881376497</v>
      </c>
      <c r="O17">
        <v>471.54665099999897</v>
      </c>
      <c r="P17">
        <v>1</v>
      </c>
      <c r="Q17">
        <v>7.7997664467023197E-3</v>
      </c>
      <c r="R17">
        <v>3.4843480628922598E-2</v>
      </c>
      <c r="S17">
        <v>0.10996683444135399</v>
      </c>
    </row>
    <row r="18" spans="1:19" x14ac:dyDescent="0.25">
      <c r="A18" t="s">
        <v>22</v>
      </c>
      <c r="B18">
        <v>39881.9</v>
      </c>
      <c r="C18">
        <v>70824.5</v>
      </c>
      <c r="D18">
        <v>138143</v>
      </c>
      <c r="E18">
        <v>3</v>
      </c>
      <c r="F18">
        <v>30</v>
      </c>
      <c r="G18">
        <v>53</v>
      </c>
      <c r="H18">
        <v>3</v>
      </c>
      <c r="I18">
        <v>52</v>
      </c>
      <c r="J18">
        <v>60</v>
      </c>
      <c r="K18">
        <v>5</v>
      </c>
      <c r="L18">
        <v>5452.6501385537704</v>
      </c>
      <c r="M18">
        <v>364.02888300000001</v>
      </c>
      <c r="N18">
        <v>4847.0660792976596</v>
      </c>
      <c r="O18">
        <v>484.89739900000001</v>
      </c>
      <c r="P18">
        <v>1</v>
      </c>
      <c r="Q18" s="1">
        <v>1.34523202081349E-4</v>
      </c>
      <c r="R18">
        <v>2.0713732966764001E-2</v>
      </c>
      <c r="S18">
        <v>0.14467579186819601</v>
      </c>
    </row>
    <row r="19" spans="1:19" x14ac:dyDescent="0.25">
      <c r="A19" t="s">
        <v>23</v>
      </c>
      <c r="B19">
        <v>47930.1</v>
      </c>
      <c r="C19">
        <v>88660.3</v>
      </c>
      <c r="D19">
        <v>138143</v>
      </c>
      <c r="E19">
        <v>3</v>
      </c>
      <c r="F19">
        <v>30</v>
      </c>
      <c r="G19">
        <v>64</v>
      </c>
      <c r="H19">
        <v>4</v>
      </c>
      <c r="I19">
        <v>58</v>
      </c>
      <c r="J19">
        <v>70</v>
      </c>
      <c r="K19">
        <v>2</v>
      </c>
      <c r="L19">
        <v>10272.5588986366</v>
      </c>
      <c r="M19">
        <v>250.19936100000001</v>
      </c>
      <c r="N19">
        <v>10095.1153967107</v>
      </c>
      <c r="O19">
        <v>238.52292499999999</v>
      </c>
      <c r="P19">
        <v>4</v>
      </c>
      <c r="Q19">
        <v>0</v>
      </c>
      <c r="R19">
        <v>0</v>
      </c>
      <c r="S19">
        <v>-2.4949923569875101E-2</v>
      </c>
    </row>
    <row r="20" spans="1:19" x14ac:dyDescent="0.25">
      <c r="A20" t="s">
        <v>23</v>
      </c>
      <c r="B20">
        <v>47930.1</v>
      </c>
      <c r="C20">
        <v>88660.3</v>
      </c>
      <c r="D20">
        <v>138143</v>
      </c>
      <c r="E20">
        <v>3</v>
      </c>
      <c r="F20">
        <v>30</v>
      </c>
      <c r="G20">
        <v>64</v>
      </c>
      <c r="H20">
        <v>4</v>
      </c>
      <c r="I20">
        <v>58</v>
      </c>
      <c r="J20">
        <v>74</v>
      </c>
      <c r="K20">
        <v>2</v>
      </c>
      <c r="L20">
        <v>10272.5588986366</v>
      </c>
      <c r="M20">
        <v>250.19936100000001</v>
      </c>
      <c r="N20">
        <v>9521.0303156739192</v>
      </c>
      <c r="O20">
        <v>238.57536899999999</v>
      </c>
      <c r="P20">
        <v>1</v>
      </c>
      <c r="Q20">
        <v>2.05255151830851E-2</v>
      </c>
      <c r="R20" s="1">
        <v>8.3566404178614303E-5</v>
      </c>
      <c r="S20">
        <v>-4.5475438752960298E-2</v>
      </c>
    </row>
    <row r="21" spans="1:19" x14ac:dyDescent="0.25">
      <c r="A21" t="s">
        <v>24</v>
      </c>
      <c r="B21">
        <v>40993.4</v>
      </c>
      <c r="C21">
        <v>111137.8</v>
      </c>
      <c r="D21">
        <v>138143</v>
      </c>
      <c r="E21">
        <v>3</v>
      </c>
      <c r="F21">
        <v>30</v>
      </c>
      <c r="G21">
        <v>57</v>
      </c>
      <c r="H21">
        <v>4</v>
      </c>
      <c r="I21">
        <v>48</v>
      </c>
      <c r="J21">
        <v>70</v>
      </c>
      <c r="K21">
        <v>5</v>
      </c>
      <c r="L21">
        <v>11984.9972627426</v>
      </c>
      <c r="M21">
        <v>165.16266300000001</v>
      </c>
      <c r="N21">
        <v>12289.036547694701</v>
      </c>
      <c r="O21">
        <v>159.56494499999999</v>
      </c>
      <c r="P21">
        <v>1</v>
      </c>
      <c r="Q21">
        <v>0</v>
      </c>
      <c r="R21">
        <v>0</v>
      </c>
      <c r="S21">
        <v>1.1678260054437299E-3</v>
      </c>
    </row>
    <row r="22" spans="1:19" x14ac:dyDescent="0.25">
      <c r="A22" t="s">
        <v>24</v>
      </c>
      <c r="B22">
        <v>40993.4</v>
      </c>
      <c r="C22">
        <v>111137.8</v>
      </c>
      <c r="D22">
        <v>138143</v>
      </c>
      <c r="E22">
        <v>3</v>
      </c>
      <c r="F22">
        <v>30</v>
      </c>
      <c r="G22">
        <v>57</v>
      </c>
      <c r="H22">
        <v>4</v>
      </c>
      <c r="I22">
        <v>48</v>
      </c>
      <c r="J22">
        <v>48</v>
      </c>
      <c r="K22">
        <v>5</v>
      </c>
      <c r="L22">
        <v>11984.9972627426</v>
      </c>
      <c r="M22">
        <v>165.16266300000001</v>
      </c>
      <c r="N22">
        <v>11984.9972627426</v>
      </c>
      <c r="O22">
        <v>165.16266300000001</v>
      </c>
      <c r="P22">
        <v>12</v>
      </c>
      <c r="Q22">
        <v>1.1053343229416399E-2</v>
      </c>
      <c r="R22">
        <v>9.8855172239727396E-3</v>
      </c>
      <c r="S22">
        <v>-9.8855172239727396E-3</v>
      </c>
    </row>
    <row r="23" spans="1:19" x14ac:dyDescent="0.25">
      <c r="A23" t="s">
        <v>24</v>
      </c>
      <c r="B23">
        <v>40993.4</v>
      </c>
      <c r="C23">
        <v>111137.8</v>
      </c>
      <c r="D23">
        <v>138143</v>
      </c>
      <c r="E23">
        <v>3</v>
      </c>
      <c r="F23">
        <v>30</v>
      </c>
      <c r="G23">
        <v>57</v>
      </c>
      <c r="H23">
        <v>4</v>
      </c>
      <c r="I23">
        <v>48</v>
      </c>
      <c r="J23">
        <v>66</v>
      </c>
      <c r="K23">
        <v>5</v>
      </c>
      <c r="L23">
        <v>11984.9972627426</v>
      </c>
      <c r="M23">
        <v>165.16266300000001</v>
      </c>
      <c r="N23">
        <v>11796.617133752899</v>
      </c>
      <c r="O23">
        <v>167.646872</v>
      </c>
      <c r="P23">
        <v>1</v>
      </c>
      <c r="Q23">
        <v>6.8485565069426003E-3</v>
      </c>
      <c r="R23">
        <v>4.3870896778738198E-3</v>
      </c>
      <c r="S23">
        <v>-6.8485565069426003E-3</v>
      </c>
    </row>
    <row r="24" spans="1:19" x14ac:dyDescent="0.25">
      <c r="A24" t="s">
        <v>24</v>
      </c>
      <c r="B24">
        <v>40993.4</v>
      </c>
      <c r="C24">
        <v>111137.8</v>
      </c>
      <c r="D24">
        <v>138143</v>
      </c>
      <c r="E24">
        <v>3</v>
      </c>
      <c r="F24">
        <v>30</v>
      </c>
      <c r="G24">
        <v>57</v>
      </c>
      <c r="H24">
        <v>4</v>
      </c>
      <c r="I24">
        <v>48</v>
      </c>
      <c r="J24">
        <v>64</v>
      </c>
      <c r="K24">
        <v>5</v>
      </c>
      <c r="L24">
        <v>11984.9972627426</v>
      </c>
      <c r="M24">
        <v>165.16266300000001</v>
      </c>
      <c r="N24">
        <v>11158.408981631101</v>
      </c>
      <c r="O24">
        <v>169.48181499999899</v>
      </c>
      <c r="P24">
        <v>1</v>
      </c>
      <c r="Q24">
        <v>2.3202046927340798E-2</v>
      </c>
      <c r="R24">
        <v>3.2404920418476701E-3</v>
      </c>
      <c r="S24">
        <v>-2.5663513756409601E-2</v>
      </c>
    </row>
    <row r="25" spans="1:19" x14ac:dyDescent="0.25">
      <c r="A25" t="s">
        <v>24</v>
      </c>
      <c r="B25">
        <v>40993.4</v>
      </c>
      <c r="C25">
        <v>111137.8</v>
      </c>
      <c r="D25">
        <v>138143</v>
      </c>
      <c r="E25">
        <v>3</v>
      </c>
      <c r="F25">
        <v>30</v>
      </c>
      <c r="G25">
        <v>57</v>
      </c>
      <c r="H25">
        <v>4</v>
      </c>
      <c r="I25">
        <v>48</v>
      </c>
      <c r="J25">
        <v>76</v>
      </c>
      <c r="K25">
        <v>5</v>
      </c>
      <c r="L25">
        <v>11984.9972627426</v>
      </c>
      <c r="M25">
        <v>165.16266300000001</v>
      </c>
      <c r="N25">
        <v>11119.9192015192</v>
      </c>
      <c r="O25">
        <v>182.09786099999999</v>
      </c>
      <c r="P25">
        <v>1</v>
      </c>
      <c r="Q25">
        <v>1.39929532615712E-3</v>
      </c>
      <c r="R25">
        <v>2.2279818317291498E-2</v>
      </c>
      <c r="S25">
        <v>-2.3822317040719E-2</v>
      </c>
    </row>
    <row r="26" spans="1:19" x14ac:dyDescent="0.25">
      <c r="A26" t="s">
        <v>25</v>
      </c>
      <c r="B26">
        <v>33301.300000000003</v>
      </c>
      <c r="C26">
        <v>3637</v>
      </c>
      <c r="D26">
        <v>138143</v>
      </c>
      <c r="E26">
        <v>3</v>
      </c>
      <c r="F26">
        <v>30</v>
      </c>
      <c r="G26">
        <v>51</v>
      </c>
      <c r="H26">
        <v>4</v>
      </c>
      <c r="I26">
        <v>44</v>
      </c>
      <c r="J26">
        <v>78</v>
      </c>
      <c r="K26">
        <v>1</v>
      </c>
      <c r="L26">
        <v>3048.2747734956702</v>
      </c>
      <c r="M26">
        <v>60.998719999999999</v>
      </c>
      <c r="N26">
        <v>2867.12540605508</v>
      </c>
      <c r="O26">
        <v>58.687522999999999</v>
      </c>
      <c r="P26">
        <v>1590</v>
      </c>
      <c r="Q26">
        <v>0</v>
      </c>
      <c r="R26">
        <v>0</v>
      </c>
      <c r="S26">
        <v>-1.03961482857773E-2</v>
      </c>
    </row>
    <row r="27" spans="1:19" x14ac:dyDescent="0.25">
      <c r="A27" t="s">
        <v>26</v>
      </c>
      <c r="B27">
        <v>38783.1</v>
      </c>
      <c r="C27">
        <v>105518.9</v>
      </c>
      <c r="D27">
        <v>138143</v>
      </c>
      <c r="E27">
        <v>3</v>
      </c>
      <c r="F27">
        <v>30</v>
      </c>
      <c r="G27">
        <v>47</v>
      </c>
      <c r="H27">
        <v>3</v>
      </c>
      <c r="I27">
        <v>32</v>
      </c>
      <c r="J27">
        <v>32</v>
      </c>
      <c r="K27">
        <v>4</v>
      </c>
      <c r="L27">
        <v>5067.0465490719798</v>
      </c>
      <c r="M27">
        <v>239.63280399999999</v>
      </c>
      <c r="N27">
        <v>5067.0465490719798</v>
      </c>
      <c r="O27">
        <v>239.63280399999999</v>
      </c>
      <c r="P27">
        <v>3</v>
      </c>
      <c r="Q27">
        <v>0</v>
      </c>
      <c r="R27">
        <v>0</v>
      </c>
      <c r="S27">
        <v>0</v>
      </c>
    </row>
    <row r="28" spans="1:19" x14ac:dyDescent="0.25">
      <c r="A28" t="s">
        <v>26</v>
      </c>
      <c r="B28">
        <v>38783.1</v>
      </c>
      <c r="C28">
        <v>105518.9</v>
      </c>
      <c r="D28">
        <v>138143</v>
      </c>
      <c r="E28">
        <v>3</v>
      </c>
      <c r="F28">
        <v>30</v>
      </c>
      <c r="G28">
        <v>47</v>
      </c>
      <c r="H28">
        <v>3</v>
      </c>
      <c r="I28">
        <v>32</v>
      </c>
      <c r="J28">
        <v>30</v>
      </c>
      <c r="K28">
        <v>4</v>
      </c>
      <c r="L28">
        <v>5067.0465490719798</v>
      </c>
      <c r="M28">
        <v>239.63280399999999</v>
      </c>
      <c r="N28">
        <v>4788.4083854800501</v>
      </c>
      <c r="O28">
        <v>264.64964400000002</v>
      </c>
      <c r="P28">
        <v>1</v>
      </c>
      <c r="Q28">
        <v>1.00558923146032E-2</v>
      </c>
      <c r="R28">
        <v>4.7858004848674099E-2</v>
      </c>
      <c r="S28">
        <v>-1.00558923146032E-2</v>
      </c>
    </row>
    <row r="29" spans="1:19" x14ac:dyDescent="0.25">
      <c r="A29" t="s">
        <v>26</v>
      </c>
      <c r="B29">
        <v>38783.1</v>
      </c>
      <c r="C29">
        <v>105518.9</v>
      </c>
      <c r="D29">
        <v>138143</v>
      </c>
      <c r="E29">
        <v>3</v>
      </c>
      <c r="F29">
        <v>30</v>
      </c>
      <c r="G29">
        <v>47</v>
      </c>
      <c r="H29">
        <v>3</v>
      </c>
      <c r="I29">
        <v>32</v>
      </c>
      <c r="J29">
        <v>40</v>
      </c>
      <c r="K29">
        <v>4</v>
      </c>
      <c r="L29">
        <v>5067.0465490719798</v>
      </c>
      <c r="M29">
        <v>239.63280399999999</v>
      </c>
      <c r="N29">
        <v>4514.5170150091399</v>
      </c>
      <c r="O29">
        <v>264.77753000000001</v>
      </c>
      <c r="P29">
        <v>1</v>
      </c>
      <c r="Q29">
        <v>9.8845832597009801E-3</v>
      </c>
      <c r="R29" s="1">
        <v>2.4464995611273E-4</v>
      </c>
      <c r="S29">
        <v>2.7917529274369898E-2</v>
      </c>
    </row>
    <row r="30" spans="1:19" x14ac:dyDescent="0.25">
      <c r="A30" t="s">
        <v>26</v>
      </c>
      <c r="B30">
        <v>38783.1</v>
      </c>
      <c r="C30">
        <v>105518.9</v>
      </c>
      <c r="D30">
        <v>138143</v>
      </c>
      <c r="E30">
        <v>3</v>
      </c>
      <c r="F30">
        <v>30</v>
      </c>
      <c r="G30">
        <v>47</v>
      </c>
      <c r="H30">
        <v>3</v>
      </c>
      <c r="I30">
        <v>32</v>
      </c>
      <c r="J30">
        <v>50</v>
      </c>
      <c r="K30">
        <v>4</v>
      </c>
      <c r="L30">
        <v>5067.0465490719798</v>
      </c>
      <c r="M30">
        <v>239.63280399999999</v>
      </c>
      <c r="N30">
        <v>4227.5859703649103</v>
      </c>
      <c r="O30">
        <v>300.45681500000001</v>
      </c>
      <c r="P30">
        <v>1</v>
      </c>
      <c r="Q30">
        <v>1.0355177659312599E-2</v>
      </c>
      <c r="R30">
        <v>6.8255598809730797E-2</v>
      </c>
      <c r="S30">
        <v>1.7807001571169899E-2</v>
      </c>
    </row>
    <row r="31" spans="1:19" x14ac:dyDescent="0.25">
      <c r="A31" t="s">
        <v>27</v>
      </c>
      <c r="B31">
        <v>35882.699999999997</v>
      </c>
      <c r="C31">
        <v>78097.399999999994</v>
      </c>
      <c r="D31">
        <v>138143</v>
      </c>
      <c r="E31">
        <v>3</v>
      </c>
      <c r="F31">
        <v>30</v>
      </c>
      <c r="G31">
        <v>50</v>
      </c>
      <c r="H31">
        <v>4</v>
      </c>
      <c r="I31">
        <v>32</v>
      </c>
      <c r="J31">
        <v>32</v>
      </c>
      <c r="K31">
        <v>2</v>
      </c>
      <c r="L31">
        <v>3304.2140190489699</v>
      </c>
      <c r="M31">
        <v>81.862023999999906</v>
      </c>
      <c r="N31">
        <v>2925.6076267673602</v>
      </c>
      <c r="O31">
        <v>72.280904999999905</v>
      </c>
      <c r="P31">
        <v>17</v>
      </c>
      <c r="Q31">
        <v>0</v>
      </c>
      <c r="R31">
        <v>0</v>
      </c>
      <c r="S31">
        <v>-3.4527366199613302E-2</v>
      </c>
    </row>
    <row r="32" spans="1:19" x14ac:dyDescent="0.25">
      <c r="A32" t="s">
        <v>27</v>
      </c>
      <c r="B32">
        <v>35882.699999999997</v>
      </c>
      <c r="C32">
        <v>78097.399999999994</v>
      </c>
      <c r="D32">
        <v>138143</v>
      </c>
      <c r="E32">
        <v>3</v>
      </c>
      <c r="F32">
        <v>30</v>
      </c>
      <c r="G32">
        <v>50</v>
      </c>
      <c r="H32">
        <v>4</v>
      </c>
      <c r="I32">
        <v>32</v>
      </c>
      <c r="J32">
        <v>56</v>
      </c>
      <c r="K32">
        <v>2</v>
      </c>
      <c r="L32">
        <v>3304.2140190489699</v>
      </c>
      <c r="M32">
        <v>81.862023999999906</v>
      </c>
      <c r="N32">
        <v>2754.1251125776198</v>
      </c>
      <c r="O32">
        <v>97.892562999999996</v>
      </c>
      <c r="P32">
        <v>6</v>
      </c>
      <c r="Q32">
        <v>6.2208260945621997E-3</v>
      </c>
      <c r="R32">
        <v>5.5581931452162003E-2</v>
      </c>
      <c r="S32">
        <v>-4.0748192294175499E-2</v>
      </c>
    </row>
    <row r="33" spans="1:19" x14ac:dyDescent="0.25">
      <c r="A33" t="s">
        <v>28</v>
      </c>
      <c r="B33">
        <v>41238.400000000001</v>
      </c>
      <c r="C33">
        <v>52901.2</v>
      </c>
      <c r="D33">
        <v>138143</v>
      </c>
      <c r="E33">
        <v>3</v>
      </c>
      <c r="F33">
        <v>30</v>
      </c>
      <c r="G33">
        <v>67</v>
      </c>
      <c r="H33">
        <v>3</v>
      </c>
      <c r="I33">
        <v>66</v>
      </c>
      <c r="J33">
        <v>82</v>
      </c>
      <c r="K33">
        <v>1</v>
      </c>
      <c r="L33">
        <v>9476.0714940673006</v>
      </c>
      <c r="M33">
        <v>296.62375499999899</v>
      </c>
      <c r="N33">
        <v>9195.4614918867192</v>
      </c>
      <c r="O33">
        <v>273.88621000000001</v>
      </c>
      <c r="P33">
        <v>13</v>
      </c>
      <c r="Q33">
        <v>0</v>
      </c>
      <c r="R33">
        <v>0</v>
      </c>
      <c r="S33">
        <v>-3.51353888158705E-2</v>
      </c>
    </row>
    <row r="34" spans="1:19" x14ac:dyDescent="0.25">
      <c r="A34" t="s">
        <v>29</v>
      </c>
      <c r="B34">
        <v>31751.5</v>
      </c>
      <c r="C34">
        <v>73197.7</v>
      </c>
      <c r="D34">
        <v>138143</v>
      </c>
      <c r="E34">
        <v>3</v>
      </c>
      <c r="F34">
        <v>30</v>
      </c>
      <c r="G34">
        <v>49</v>
      </c>
      <c r="H34">
        <v>4</v>
      </c>
      <c r="I34">
        <v>44</v>
      </c>
      <c r="J34">
        <v>40</v>
      </c>
      <c r="K34">
        <v>2</v>
      </c>
      <c r="L34">
        <v>7568.9810285415797</v>
      </c>
      <c r="M34">
        <v>229.831671</v>
      </c>
      <c r="N34">
        <v>7453.9574007822002</v>
      </c>
      <c r="O34">
        <v>218.59501800000001</v>
      </c>
      <c r="P34">
        <v>1</v>
      </c>
      <c r="Q34">
        <v>0</v>
      </c>
      <c r="R34">
        <v>0</v>
      </c>
      <c r="S34">
        <v>-2.2994686051517499E-2</v>
      </c>
    </row>
    <row r="35" spans="1:19" x14ac:dyDescent="0.25">
      <c r="A35" t="s">
        <v>29</v>
      </c>
      <c r="B35">
        <v>31751.5</v>
      </c>
      <c r="C35">
        <v>73197.7</v>
      </c>
      <c r="D35">
        <v>138143</v>
      </c>
      <c r="E35">
        <v>3</v>
      </c>
      <c r="F35">
        <v>30</v>
      </c>
      <c r="G35">
        <v>49</v>
      </c>
      <c r="H35">
        <v>4</v>
      </c>
      <c r="I35">
        <v>44</v>
      </c>
      <c r="J35">
        <v>54</v>
      </c>
      <c r="K35">
        <v>2</v>
      </c>
      <c r="L35">
        <v>7568.9810285415797</v>
      </c>
      <c r="M35">
        <v>229.831671</v>
      </c>
      <c r="N35">
        <v>6670.9173429109196</v>
      </c>
      <c r="O35">
        <v>234.93677299999999</v>
      </c>
      <c r="P35">
        <v>2</v>
      </c>
      <c r="Q35">
        <v>2.80084513905999E-2</v>
      </c>
      <c r="R35">
        <v>2.7458285665110899E-2</v>
      </c>
      <c r="S35">
        <v>-5.1003137442117402E-2</v>
      </c>
    </row>
    <row r="36" spans="1:19" x14ac:dyDescent="0.25">
      <c r="A36" t="s">
        <v>30</v>
      </c>
      <c r="B36">
        <v>27200.9</v>
      </c>
      <c r="C36">
        <v>1</v>
      </c>
      <c r="D36">
        <v>138143</v>
      </c>
      <c r="E36">
        <v>3</v>
      </c>
      <c r="F36">
        <v>30</v>
      </c>
      <c r="G36">
        <v>53</v>
      </c>
      <c r="H36">
        <v>3</v>
      </c>
      <c r="I36">
        <v>52</v>
      </c>
      <c r="J36">
        <v>52</v>
      </c>
      <c r="K36">
        <v>1</v>
      </c>
      <c r="L36">
        <v>2899.4294388462299</v>
      </c>
      <c r="M36">
        <v>52.386248000000002</v>
      </c>
      <c r="N36">
        <v>2899.4294388462299</v>
      </c>
      <c r="O36">
        <v>52.386248000000002</v>
      </c>
      <c r="P36">
        <v>8</v>
      </c>
      <c r="Q36">
        <v>0</v>
      </c>
      <c r="R36">
        <v>0</v>
      </c>
      <c r="S36">
        <v>0</v>
      </c>
    </row>
    <row r="37" spans="1:19" x14ac:dyDescent="0.25">
      <c r="A37" t="s">
        <v>31</v>
      </c>
      <c r="B37">
        <v>25514.7</v>
      </c>
      <c r="C37">
        <v>384.8</v>
      </c>
      <c r="D37">
        <v>138143</v>
      </c>
      <c r="E37">
        <v>3</v>
      </c>
      <c r="F37">
        <v>30</v>
      </c>
      <c r="G37">
        <v>48</v>
      </c>
      <c r="H37">
        <v>3</v>
      </c>
      <c r="I37">
        <v>38</v>
      </c>
      <c r="J37">
        <v>72</v>
      </c>
      <c r="K37">
        <v>1</v>
      </c>
      <c r="L37">
        <v>4000.2030537826799</v>
      </c>
      <c r="M37">
        <v>46.754466999999998</v>
      </c>
      <c r="N37">
        <v>2512.3368335505402</v>
      </c>
      <c r="O37">
        <v>36.309705000000001</v>
      </c>
      <c r="P37">
        <v>17012</v>
      </c>
      <c r="Q37">
        <v>0</v>
      </c>
      <c r="R37">
        <v>0</v>
      </c>
      <c r="S37">
        <v>-7.6229999692006195E-2</v>
      </c>
    </row>
    <row r="38" spans="1:19" x14ac:dyDescent="0.25">
      <c r="A38" t="s">
        <v>32</v>
      </c>
      <c r="B38">
        <v>24252.3</v>
      </c>
      <c r="C38">
        <v>14162.1</v>
      </c>
      <c r="D38">
        <v>138143</v>
      </c>
      <c r="E38">
        <v>3</v>
      </c>
      <c r="F38">
        <v>30</v>
      </c>
      <c r="G38">
        <v>51</v>
      </c>
      <c r="H38">
        <v>3</v>
      </c>
      <c r="I38">
        <v>44</v>
      </c>
      <c r="J38">
        <v>40</v>
      </c>
      <c r="K38">
        <v>1</v>
      </c>
      <c r="L38">
        <v>3540.1533481260499</v>
      </c>
      <c r="M38">
        <v>204.63209999999901</v>
      </c>
      <c r="N38">
        <v>3540.1533481260499</v>
      </c>
      <c r="O38">
        <v>193.32134199999999</v>
      </c>
      <c r="P38">
        <v>1</v>
      </c>
      <c r="Q38">
        <v>0</v>
      </c>
      <c r="R38">
        <v>0</v>
      </c>
      <c r="S38">
        <v>-1.9496261129714299E-2</v>
      </c>
    </row>
    <row r="39" spans="1:19" x14ac:dyDescent="0.25">
      <c r="A39" t="s">
        <v>33</v>
      </c>
      <c r="B39">
        <v>25874.7</v>
      </c>
      <c r="C39">
        <v>74143.5</v>
      </c>
      <c r="D39">
        <v>138143</v>
      </c>
      <c r="E39">
        <v>3</v>
      </c>
      <c r="F39">
        <v>30</v>
      </c>
      <c r="G39">
        <v>50</v>
      </c>
      <c r="H39">
        <v>5</v>
      </c>
      <c r="I39">
        <v>32</v>
      </c>
      <c r="J39">
        <v>50</v>
      </c>
      <c r="K39">
        <v>2</v>
      </c>
      <c r="L39">
        <v>5961.0552690866398</v>
      </c>
      <c r="M39">
        <v>107.77089599999999</v>
      </c>
      <c r="N39">
        <v>5961.0552690866398</v>
      </c>
      <c r="O39">
        <v>90.512212000000005</v>
      </c>
      <c r="P39">
        <v>2</v>
      </c>
      <c r="Q39">
        <v>0</v>
      </c>
      <c r="R39">
        <v>0</v>
      </c>
      <c r="S39">
        <v>-3.3196833548448199E-2</v>
      </c>
    </row>
    <row r="40" spans="1:19" x14ac:dyDescent="0.25">
      <c r="A40" t="s">
        <v>33</v>
      </c>
      <c r="B40">
        <v>25874.7</v>
      </c>
      <c r="C40">
        <v>74143.5</v>
      </c>
      <c r="D40">
        <v>138143</v>
      </c>
      <c r="E40">
        <v>3</v>
      </c>
      <c r="F40">
        <v>30</v>
      </c>
      <c r="G40">
        <v>50</v>
      </c>
      <c r="H40">
        <v>5</v>
      </c>
      <c r="I40">
        <v>32</v>
      </c>
      <c r="J40">
        <v>62</v>
      </c>
      <c r="K40">
        <v>2</v>
      </c>
      <c r="L40">
        <v>5961.0552690866398</v>
      </c>
      <c r="M40">
        <v>107.77089599999999</v>
      </c>
      <c r="N40">
        <v>5600.4399637803099</v>
      </c>
      <c r="O40">
        <v>118.697642</v>
      </c>
      <c r="P40">
        <v>3</v>
      </c>
      <c r="Q40">
        <v>1.29543881267308E-2</v>
      </c>
      <c r="R40">
        <v>5.4214274286581703E-2</v>
      </c>
      <c r="S40">
        <v>-4.6151221675179099E-2</v>
      </c>
    </row>
    <row r="41" spans="1:19" x14ac:dyDescent="0.25">
      <c r="A41" t="s">
        <v>34</v>
      </c>
      <c r="B41">
        <v>30278.799999999999</v>
      </c>
      <c r="C41">
        <v>76758.8</v>
      </c>
      <c r="D41">
        <v>138143</v>
      </c>
      <c r="E41">
        <v>3</v>
      </c>
      <c r="F41">
        <v>30</v>
      </c>
      <c r="G41">
        <v>56</v>
      </c>
      <c r="H41">
        <v>3</v>
      </c>
      <c r="I41">
        <v>60</v>
      </c>
      <c r="J41">
        <v>66</v>
      </c>
      <c r="K41">
        <v>4</v>
      </c>
      <c r="L41">
        <v>11735.589251031701</v>
      </c>
      <c r="M41">
        <v>376.46315900000002</v>
      </c>
      <c r="N41">
        <v>12295.616101893</v>
      </c>
      <c r="O41">
        <v>360.17709400000001</v>
      </c>
      <c r="P41">
        <v>1</v>
      </c>
      <c r="Q41">
        <v>0</v>
      </c>
      <c r="R41">
        <v>0</v>
      </c>
      <c r="S41">
        <v>-8.67787902705691E-3</v>
      </c>
    </row>
    <row r="42" spans="1:19" x14ac:dyDescent="0.25">
      <c r="A42" t="s">
        <v>34</v>
      </c>
      <c r="B42">
        <v>30278.799999999999</v>
      </c>
      <c r="C42">
        <v>76758.8</v>
      </c>
      <c r="D42">
        <v>138143</v>
      </c>
      <c r="E42">
        <v>3</v>
      </c>
      <c r="F42">
        <v>30</v>
      </c>
      <c r="G42">
        <v>56</v>
      </c>
      <c r="H42">
        <v>3</v>
      </c>
      <c r="I42">
        <v>60</v>
      </c>
      <c r="J42">
        <v>58</v>
      </c>
      <c r="K42">
        <v>4</v>
      </c>
      <c r="L42">
        <v>11735.589251031701</v>
      </c>
      <c r="M42">
        <v>376.46315900000002</v>
      </c>
      <c r="N42">
        <v>11604.0717122899</v>
      </c>
      <c r="O42">
        <v>367.93421000000001</v>
      </c>
      <c r="P42">
        <v>1</v>
      </c>
      <c r="Q42">
        <v>2.5424694825502501E-2</v>
      </c>
      <c r="R42">
        <v>1.3940137742099901E-2</v>
      </c>
      <c r="S42">
        <v>-3.4102573852559402E-2</v>
      </c>
    </row>
    <row r="43" spans="1:19" x14ac:dyDescent="0.25">
      <c r="A43" t="s">
        <v>34</v>
      </c>
      <c r="B43">
        <v>30278.799999999999</v>
      </c>
      <c r="C43">
        <v>76758.8</v>
      </c>
      <c r="D43">
        <v>138143</v>
      </c>
      <c r="E43">
        <v>3</v>
      </c>
      <c r="F43">
        <v>30</v>
      </c>
      <c r="G43">
        <v>56</v>
      </c>
      <c r="H43">
        <v>3</v>
      </c>
      <c r="I43">
        <v>60</v>
      </c>
      <c r="J43">
        <v>54</v>
      </c>
      <c r="K43">
        <v>4</v>
      </c>
      <c r="L43">
        <v>11735.589251031701</v>
      </c>
      <c r="M43">
        <v>376.46315900000002</v>
      </c>
      <c r="N43">
        <v>11219.7448434529</v>
      </c>
      <c r="O43">
        <v>384.42008199999998</v>
      </c>
      <c r="P43">
        <v>1</v>
      </c>
      <c r="Q43">
        <v>1.412981364657E-2</v>
      </c>
      <c r="R43">
        <v>2.9626387755272598E-2</v>
      </c>
      <c r="S43">
        <v>-3.4292249757029603E-2</v>
      </c>
    </row>
    <row r="44" spans="1:19" x14ac:dyDescent="0.25">
      <c r="A44" t="s">
        <v>34</v>
      </c>
      <c r="B44">
        <v>30278.799999999999</v>
      </c>
      <c r="C44">
        <v>76758.8</v>
      </c>
      <c r="D44">
        <v>138143</v>
      </c>
      <c r="E44">
        <v>3</v>
      </c>
      <c r="F44">
        <v>30</v>
      </c>
      <c r="G44">
        <v>56</v>
      </c>
      <c r="H44">
        <v>3</v>
      </c>
      <c r="I44">
        <v>60</v>
      </c>
      <c r="J44">
        <v>52</v>
      </c>
      <c r="K44">
        <v>4</v>
      </c>
      <c r="L44">
        <v>11735.589251031701</v>
      </c>
      <c r="M44">
        <v>376.46315900000002</v>
      </c>
      <c r="N44">
        <v>10934.897023777799</v>
      </c>
      <c r="O44">
        <v>410.10708799999998</v>
      </c>
      <c r="P44">
        <v>2</v>
      </c>
      <c r="Q44">
        <v>1.04724570046861E-2</v>
      </c>
      <c r="R44">
        <v>4.6161537589762401E-2</v>
      </c>
      <c r="S44">
        <v>-1.5138319006443199E-2</v>
      </c>
    </row>
    <row r="45" spans="1:19" x14ac:dyDescent="0.25">
      <c r="A45" t="s">
        <v>35</v>
      </c>
      <c r="B45">
        <v>31120.1</v>
      </c>
      <c r="C45">
        <v>117962.5</v>
      </c>
      <c r="D45">
        <v>138143</v>
      </c>
      <c r="E45">
        <v>3</v>
      </c>
      <c r="F45">
        <v>30</v>
      </c>
      <c r="G45">
        <v>56</v>
      </c>
      <c r="H45">
        <v>2</v>
      </c>
      <c r="I45">
        <v>48</v>
      </c>
      <c r="J45">
        <v>48</v>
      </c>
      <c r="K45">
        <v>8</v>
      </c>
      <c r="L45">
        <v>15733.0514788978</v>
      </c>
      <c r="M45">
        <v>313.62805400000002</v>
      </c>
      <c r="N45">
        <v>15733.0514788978</v>
      </c>
      <c r="O45">
        <v>313.62805400000002</v>
      </c>
      <c r="P45">
        <v>6</v>
      </c>
      <c r="Q45">
        <v>0</v>
      </c>
      <c r="R45">
        <v>0</v>
      </c>
      <c r="S45">
        <v>0</v>
      </c>
    </row>
    <row r="46" spans="1:19" x14ac:dyDescent="0.25">
      <c r="A46" t="s">
        <v>35</v>
      </c>
      <c r="B46">
        <v>31120.1</v>
      </c>
      <c r="C46">
        <v>117962.5</v>
      </c>
      <c r="D46">
        <v>138143</v>
      </c>
      <c r="E46">
        <v>3</v>
      </c>
      <c r="F46">
        <v>30</v>
      </c>
      <c r="G46">
        <v>56</v>
      </c>
      <c r="H46">
        <v>2</v>
      </c>
      <c r="I46">
        <v>48</v>
      </c>
      <c r="J46">
        <v>54</v>
      </c>
      <c r="K46">
        <v>8</v>
      </c>
      <c r="L46">
        <v>15733.0514788978</v>
      </c>
      <c r="M46">
        <v>313.62805400000002</v>
      </c>
      <c r="N46">
        <v>15719.564867830601</v>
      </c>
      <c r="O46">
        <v>324.66446399999899</v>
      </c>
      <c r="P46">
        <v>1</v>
      </c>
      <c r="Q46" s="1">
        <v>4.9980032270513497E-4</v>
      </c>
      <c r="R46">
        <v>2.0170200893055799E-2</v>
      </c>
      <c r="S46" s="1">
        <v>-4.9980032270513497E-4</v>
      </c>
    </row>
    <row r="47" spans="1:19" x14ac:dyDescent="0.25">
      <c r="A47" t="s">
        <v>35</v>
      </c>
      <c r="B47">
        <v>31120.1</v>
      </c>
      <c r="C47">
        <v>117962.5</v>
      </c>
      <c r="D47">
        <v>138143</v>
      </c>
      <c r="E47">
        <v>3</v>
      </c>
      <c r="F47">
        <v>30</v>
      </c>
      <c r="G47">
        <v>56</v>
      </c>
      <c r="H47">
        <v>2</v>
      </c>
      <c r="I47">
        <v>48</v>
      </c>
      <c r="J47">
        <v>66</v>
      </c>
      <c r="K47">
        <v>8</v>
      </c>
      <c r="L47">
        <v>15733.0514788978</v>
      </c>
      <c r="M47">
        <v>313.62805400000002</v>
      </c>
      <c r="N47">
        <v>15704.760408365401</v>
      </c>
      <c r="O47">
        <v>329.46676000000002</v>
      </c>
      <c r="P47">
        <v>1</v>
      </c>
      <c r="Q47" s="1">
        <v>5.4863846679597996E-4</v>
      </c>
      <c r="R47">
        <v>8.7767013972769297E-3</v>
      </c>
      <c r="S47">
        <v>1.91217621035547E-2</v>
      </c>
    </row>
    <row r="48" spans="1:19" x14ac:dyDescent="0.25">
      <c r="A48" t="s">
        <v>35</v>
      </c>
      <c r="B48">
        <v>31120.1</v>
      </c>
      <c r="C48">
        <v>117962.5</v>
      </c>
      <c r="D48">
        <v>138143</v>
      </c>
      <c r="E48">
        <v>3</v>
      </c>
      <c r="F48">
        <v>30</v>
      </c>
      <c r="G48">
        <v>56</v>
      </c>
      <c r="H48">
        <v>2</v>
      </c>
      <c r="I48">
        <v>48</v>
      </c>
      <c r="J48">
        <v>66</v>
      </c>
      <c r="K48">
        <v>8</v>
      </c>
      <c r="L48">
        <v>15733.0514788978</v>
      </c>
      <c r="M48">
        <v>313.62805400000002</v>
      </c>
      <c r="N48">
        <v>15604.5234117567</v>
      </c>
      <c r="O48">
        <v>332.566418</v>
      </c>
      <c r="P48">
        <v>1</v>
      </c>
      <c r="Q48">
        <v>3.7146828808499702E-3</v>
      </c>
      <c r="R48">
        <v>5.6649512440882701E-3</v>
      </c>
      <c r="S48">
        <v>2.41837806199817E-2</v>
      </c>
    </row>
    <row r="49" spans="1:19" x14ac:dyDescent="0.25">
      <c r="A49" t="s">
        <v>35</v>
      </c>
      <c r="B49">
        <v>31120.1</v>
      </c>
      <c r="C49">
        <v>117962.5</v>
      </c>
      <c r="D49">
        <v>138143</v>
      </c>
      <c r="E49">
        <v>3</v>
      </c>
      <c r="F49">
        <v>30</v>
      </c>
      <c r="G49">
        <v>56</v>
      </c>
      <c r="H49">
        <v>2</v>
      </c>
      <c r="I49">
        <v>48</v>
      </c>
      <c r="J49">
        <v>64</v>
      </c>
      <c r="K49">
        <v>8</v>
      </c>
      <c r="L49">
        <v>15733.0514788978</v>
      </c>
      <c r="M49">
        <v>313.62805400000002</v>
      </c>
      <c r="N49">
        <v>15581.313027329201</v>
      </c>
      <c r="O49">
        <v>333.04876999999999</v>
      </c>
      <c r="P49">
        <v>2</v>
      </c>
      <c r="Q49" s="1">
        <v>8.6015364194591505E-4</v>
      </c>
      <c r="R49" s="1">
        <v>8.8154904911708E-4</v>
      </c>
      <c r="S49">
        <v>2.8988578222124001E-2</v>
      </c>
    </row>
    <row r="50" spans="1:19" x14ac:dyDescent="0.25">
      <c r="A50" t="s">
        <v>35</v>
      </c>
      <c r="B50">
        <v>31120.1</v>
      </c>
      <c r="C50">
        <v>117962.5</v>
      </c>
      <c r="D50">
        <v>138143</v>
      </c>
      <c r="E50">
        <v>3</v>
      </c>
      <c r="F50">
        <v>30</v>
      </c>
      <c r="G50">
        <v>56</v>
      </c>
      <c r="H50">
        <v>2</v>
      </c>
      <c r="I50">
        <v>48</v>
      </c>
      <c r="J50">
        <v>66</v>
      </c>
      <c r="K50">
        <v>8</v>
      </c>
      <c r="L50">
        <v>15733.0514788978</v>
      </c>
      <c r="M50">
        <v>313.62805400000002</v>
      </c>
      <c r="N50">
        <v>15503.8913445833</v>
      </c>
      <c r="O50">
        <v>333.23156499999902</v>
      </c>
      <c r="P50">
        <v>1</v>
      </c>
      <c r="Q50">
        <v>2.8691701590518501E-3</v>
      </c>
      <c r="R50" s="1">
        <v>3.3407710226829302E-4</v>
      </c>
      <c r="S50">
        <v>2.7000957112189299E-2</v>
      </c>
    </row>
    <row r="51" spans="1:19" x14ac:dyDescent="0.25">
      <c r="A51" t="s">
        <v>35</v>
      </c>
      <c r="B51">
        <v>31120.1</v>
      </c>
      <c r="C51">
        <v>117962.5</v>
      </c>
      <c r="D51">
        <v>138143</v>
      </c>
      <c r="E51">
        <v>3</v>
      </c>
      <c r="F51">
        <v>30</v>
      </c>
      <c r="G51">
        <v>56</v>
      </c>
      <c r="H51">
        <v>2</v>
      </c>
      <c r="I51">
        <v>48</v>
      </c>
      <c r="J51">
        <v>64</v>
      </c>
      <c r="K51">
        <v>8</v>
      </c>
      <c r="L51">
        <v>15733.0514788978</v>
      </c>
      <c r="M51">
        <v>313.62805400000002</v>
      </c>
      <c r="N51">
        <v>15474.1257379609</v>
      </c>
      <c r="O51">
        <v>351.07179500000001</v>
      </c>
      <c r="P51">
        <v>1</v>
      </c>
      <c r="Q51">
        <v>1.10308362280253E-3</v>
      </c>
      <c r="R51">
        <v>3.26048980672453E-2</v>
      </c>
      <c r="S51">
        <v>2.6231950591655E-2</v>
      </c>
    </row>
    <row r="52" spans="1:19" x14ac:dyDescent="0.25">
      <c r="A52" t="s">
        <v>35</v>
      </c>
      <c r="B52">
        <v>31120.1</v>
      </c>
      <c r="C52">
        <v>117962.5</v>
      </c>
      <c r="D52">
        <v>138143</v>
      </c>
      <c r="E52">
        <v>3</v>
      </c>
      <c r="F52">
        <v>30</v>
      </c>
      <c r="G52">
        <v>56</v>
      </c>
      <c r="H52">
        <v>2</v>
      </c>
      <c r="I52">
        <v>48</v>
      </c>
      <c r="J52">
        <v>62</v>
      </c>
      <c r="K52">
        <v>8</v>
      </c>
      <c r="L52">
        <v>15733.0514788978</v>
      </c>
      <c r="M52">
        <v>313.62805400000002</v>
      </c>
      <c r="N52">
        <v>15441.074960784301</v>
      </c>
      <c r="O52">
        <v>352.84180500000002</v>
      </c>
      <c r="P52">
        <v>1</v>
      </c>
      <c r="Q52">
        <v>1.2248287591455299E-3</v>
      </c>
      <c r="R52">
        <v>3.2348795743106702E-3</v>
      </c>
      <c r="S52">
        <v>5.7612019899754799E-2</v>
      </c>
    </row>
    <row r="53" spans="1:19" x14ac:dyDescent="0.25">
      <c r="A53" t="s">
        <v>36</v>
      </c>
      <c r="B53">
        <v>26320.5</v>
      </c>
      <c r="C53">
        <v>72114.899999999994</v>
      </c>
      <c r="D53">
        <v>138143</v>
      </c>
      <c r="E53">
        <v>3</v>
      </c>
      <c r="F53">
        <v>30</v>
      </c>
      <c r="G53">
        <v>40</v>
      </c>
      <c r="H53">
        <v>3</v>
      </c>
      <c r="I53">
        <v>24</v>
      </c>
      <c r="J53">
        <v>46</v>
      </c>
      <c r="K53">
        <v>1</v>
      </c>
      <c r="L53">
        <v>3965.4618676538098</v>
      </c>
      <c r="M53">
        <v>97.277483000000004</v>
      </c>
      <c r="N53">
        <v>3163.4424176192501</v>
      </c>
      <c r="O53">
        <v>85.918921999999995</v>
      </c>
      <c r="P53">
        <v>1</v>
      </c>
      <c r="Q53">
        <v>0</v>
      </c>
      <c r="R53">
        <v>0</v>
      </c>
      <c r="S53">
        <v>-5.5643850723040997E-2</v>
      </c>
    </row>
    <row r="54" spans="1:19" x14ac:dyDescent="0.25">
      <c r="A54" t="s">
        <v>37</v>
      </c>
      <c r="B54">
        <v>35619.300000000003</v>
      </c>
      <c r="C54">
        <v>25227.7</v>
      </c>
      <c r="D54">
        <v>138143</v>
      </c>
      <c r="E54">
        <v>3</v>
      </c>
      <c r="F54">
        <v>30</v>
      </c>
      <c r="G54">
        <v>54</v>
      </c>
      <c r="H54">
        <v>3</v>
      </c>
      <c r="I54">
        <v>46</v>
      </c>
      <c r="J54">
        <v>46</v>
      </c>
      <c r="K54">
        <v>3</v>
      </c>
      <c r="L54">
        <v>2225.8596333748801</v>
      </c>
      <c r="M54">
        <v>356.90473100000003</v>
      </c>
      <c r="N54">
        <v>2225.8596333748801</v>
      </c>
      <c r="O54">
        <v>356.90473100000003</v>
      </c>
      <c r="P54">
        <v>2</v>
      </c>
      <c r="Q54">
        <v>0</v>
      </c>
      <c r="R54">
        <v>0</v>
      </c>
      <c r="S54">
        <v>0</v>
      </c>
    </row>
    <row r="55" spans="1:19" x14ac:dyDescent="0.25">
      <c r="A55" t="s">
        <v>37</v>
      </c>
      <c r="B55">
        <v>35619.300000000003</v>
      </c>
      <c r="C55">
        <v>25227.7</v>
      </c>
      <c r="D55">
        <v>138143</v>
      </c>
      <c r="E55">
        <v>3</v>
      </c>
      <c r="F55">
        <v>30</v>
      </c>
      <c r="G55">
        <v>54</v>
      </c>
      <c r="H55">
        <v>3</v>
      </c>
      <c r="I55">
        <v>46</v>
      </c>
      <c r="J55">
        <v>60</v>
      </c>
      <c r="K55">
        <v>3</v>
      </c>
      <c r="L55">
        <v>2225.8596333748801</v>
      </c>
      <c r="M55">
        <v>356.90473100000003</v>
      </c>
      <c r="N55">
        <v>2218.39739566561</v>
      </c>
      <c r="O55">
        <v>423.171268</v>
      </c>
      <c r="P55">
        <v>1</v>
      </c>
      <c r="Q55" s="1">
        <v>2.7025960012895501E-4</v>
      </c>
      <c r="R55">
        <v>0.125625502719031</v>
      </c>
      <c r="S55" s="1">
        <v>-2.7025960012895501E-4</v>
      </c>
    </row>
    <row r="56" spans="1:19" x14ac:dyDescent="0.25">
      <c r="A56" t="s">
        <v>37</v>
      </c>
      <c r="B56">
        <v>35619.300000000003</v>
      </c>
      <c r="C56">
        <v>25227.7</v>
      </c>
      <c r="D56">
        <v>138143</v>
      </c>
      <c r="E56">
        <v>3</v>
      </c>
      <c r="F56">
        <v>30</v>
      </c>
      <c r="G56">
        <v>54</v>
      </c>
      <c r="H56">
        <v>3</v>
      </c>
      <c r="I56">
        <v>46</v>
      </c>
      <c r="J56">
        <v>58</v>
      </c>
      <c r="K56">
        <v>3</v>
      </c>
      <c r="L56">
        <v>2225.8596333748801</v>
      </c>
      <c r="M56">
        <v>356.90473100000003</v>
      </c>
      <c r="N56">
        <v>2138.14188464475</v>
      </c>
      <c r="O56">
        <v>451.05443000000002</v>
      </c>
      <c r="P56">
        <v>1</v>
      </c>
      <c r="Q56">
        <v>2.9066110142398302E-3</v>
      </c>
      <c r="R56">
        <v>5.2859805298807197E-2</v>
      </c>
      <c r="S56">
        <v>0.122448632104662</v>
      </c>
    </row>
    <row r="57" spans="1:19" x14ac:dyDescent="0.25">
      <c r="A57" t="s">
        <v>38</v>
      </c>
      <c r="B57">
        <v>29674.9</v>
      </c>
      <c r="C57">
        <v>4056.8</v>
      </c>
      <c r="D57">
        <v>138143</v>
      </c>
      <c r="E57">
        <v>3</v>
      </c>
      <c r="F57">
        <v>30</v>
      </c>
      <c r="G57">
        <v>54</v>
      </c>
      <c r="H57">
        <v>3</v>
      </c>
      <c r="I57">
        <v>62</v>
      </c>
      <c r="J57">
        <v>68</v>
      </c>
      <c r="K57">
        <v>1</v>
      </c>
      <c r="L57">
        <v>3613.4357680581902</v>
      </c>
      <c r="M57">
        <v>14.140319</v>
      </c>
      <c r="N57">
        <v>2763.53569587116</v>
      </c>
      <c r="O57">
        <v>0.80694900000000003</v>
      </c>
      <c r="P57">
        <v>1949</v>
      </c>
      <c r="Q57">
        <v>0</v>
      </c>
      <c r="R57">
        <v>0</v>
      </c>
      <c r="S57">
        <v>-5.1008416385314802E-2</v>
      </c>
    </row>
    <row r="58" spans="1:19" x14ac:dyDescent="0.25">
      <c r="A58" t="s">
        <v>39</v>
      </c>
      <c r="B58">
        <v>27716.2</v>
      </c>
      <c r="C58">
        <v>1</v>
      </c>
      <c r="D58">
        <v>138143</v>
      </c>
      <c r="E58">
        <v>3</v>
      </c>
      <c r="F58">
        <v>30</v>
      </c>
      <c r="G58">
        <v>54</v>
      </c>
      <c r="H58">
        <v>3</v>
      </c>
      <c r="I58">
        <v>44</v>
      </c>
      <c r="J58">
        <v>44</v>
      </c>
      <c r="K58">
        <v>1</v>
      </c>
      <c r="L58">
        <v>8091.1262946454499</v>
      </c>
      <c r="M58">
        <v>391.44051200000001</v>
      </c>
      <c r="N58">
        <v>8091.1262946454499</v>
      </c>
      <c r="O58">
        <v>391.44051200000001</v>
      </c>
      <c r="P58">
        <v>4</v>
      </c>
      <c r="Q58">
        <v>0</v>
      </c>
      <c r="R58">
        <v>0</v>
      </c>
      <c r="S58">
        <v>0</v>
      </c>
    </row>
    <row r="59" spans="1:19" x14ac:dyDescent="0.25">
      <c r="A59" t="s">
        <v>40</v>
      </c>
      <c r="B59">
        <v>32462.5</v>
      </c>
      <c r="C59">
        <v>1</v>
      </c>
      <c r="D59">
        <v>138143</v>
      </c>
      <c r="E59">
        <v>3</v>
      </c>
      <c r="F59">
        <v>30</v>
      </c>
      <c r="G59">
        <v>50</v>
      </c>
      <c r="H59">
        <v>4</v>
      </c>
      <c r="I59">
        <v>40</v>
      </c>
      <c r="J59">
        <v>40</v>
      </c>
      <c r="K59">
        <v>1</v>
      </c>
      <c r="L59">
        <v>0</v>
      </c>
      <c r="M59">
        <v>276.68983600000001</v>
      </c>
      <c r="N59">
        <v>0</v>
      </c>
      <c r="O59">
        <v>276.68983600000001</v>
      </c>
      <c r="P59">
        <v>1</v>
      </c>
      <c r="Q59">
        <v>0</v>
      </c>
      <c r="R59">
        <v>0</v>
      </c>
      <c r="S59">
        <v>0</v>
      </c>
    </row>
    <row r="60" spans="1:19" x14ac:dyDescent="0.25">
      <c r="A60" t="s">
        <v>41</v>
      </c>
      <c r="B60">
        <v>34858.300000000003</v>
      </c>
      <c r="C60">
        <v>105427.1</v>
      </c>
      <c r="D60">
        <v>138143</v>
      </c>
      <c r="E60">
        <v>3</v>
      </c>
      <c r="F60">
        <v>30</v>
      </c>
      <c r="G60">
        <v>47</v>
      </c>
      <c r="H60">
        <v>3</v>
      </c>
      <c r="I60">
        <v>34</v>
      </c>
      <c r="J60">
        <v>34</v>
      </c>
      <c r="K60">
        <v>4</v>
      </c>
      <c r="L60">
        <v>14476.354447538301</v>
      </c>
      <c r="M60">
        <v>258.976991</v>
      </c>
      <c r="N60">
        <v>14476.354447538301</v>
      </c>
      <c r="O60">
        <v>258.976991</v>
      </c>
      <c r="P60">
        <v>2</v>
      </c>
      <c r="Q60">
        <v>0</v>
      </c>
      <c r="R60">
        <v>0</v>
      </c>
      <c r="S60">
        <v>0</v>
      </c>
    </row>
    <row r="61" spans="1:19" x14ac:dyDescent="0.25">
      <c r="A61" t="s">
        <v>41</v>
      </c>
      <c r="B61">
        <v>34858.300000000003</v>
      </c>
      <c r="C61">
        <v>105427.1</v>
      </c>
      <c r="D61">
        <v>138143</v>
      </c>
      <c r="E61">
        <v>3</v>
      </c>
      <c r="F61">
        <v>30</v>
      </c>
      <c r="G61">
        <v>47</v>
      </c>
      <c r="H61">
        <v>3</v>
      </c>
      <c r="I61">
        <v>34</v>
      </c>
      <c r="J61">
        <v>54</v>
      </c>
      <c r="K61">
        <v>4</v>
      </c>
      <c r="L61">
        <v>14476.354447538301</v>
      </c>
      <c r="M61">
        <v>258.976991</v>
      </c>
      <c r="N61">
        <v>14139.771633402301</v>
      </c>
      <c r="O61">
        <v>269.97291799999999</v>
      </c>
      <c r="P61">
        <v>1</v>
      </c>
      <c r="Q61">
        <v>1.30174416789557E-2</v>
      </c>
      <c r="R61">
        <v>1.7685670166048099E-2</v>
      </c>
      <c r="S61">
        <v>-1.30174416789557E-2</v>
      </c>
    </row>
    <row r="62" spans="1:19" x14ac:dyDescent="0.25">
      <c r="A62" t="s">
        <v>41</v>
      </c>
      <c r="B62">
        <v>34858.300000000003</v>
      </c>
      <c r="C62">
        <v>105427.1</v>
      </c>
      <c r="D62">
        <v>138143</v>
      </c>
      <c r="E62">
        <v>3</v>
      </c>
      <c r="F62">
        <v>30</v>
      </c>
      <c r="G62">
        <v>47</v>
      </c>
      <c r="H62">
        <v>3</v>
      </c>
      <c r="I62">
        <v>34</v>
      </c>
      <c r="J62">
        <v>58</v>
      </c>
      <c r="K62">
        <v>4</v>
      </c>
      <c r="L62">
        <v>14476.354447538301</v>
      </c>
      <c r="M62">
        <v>258.976991</v>
      </c>
      <c r="N62">
        <v>14098.95345365</v>
      </c>
      <c r="O62">
        <v>272.851552999999</v>
      </c>
      <c r="P62">
        <v>1</v>
      </c>
      <c r="Q62">
        <v>1.57865539193169E-3</v>
      </c>
      <c r="R62">
        <v>4.6299497203319802E-3</v>
      </c>
      <c r="S62">
        <v>3.0895730951606098E-3</v>
      </c>
    </row>
    <row r="63" spans="1:19" x14ac:dyDescent="0.25">
      <c r="A63" t="s">
        <v>41</v>
      </c>
      <c r="B63">
        <v>34858.300000000003</v>
      </c>
      <c r="C63">
        <v>105427.1</v>
      </c>
      <c r="D63">
        <v>138143</v>
      </c>
      <c r="E63">
        <v>3</v>
      </c>
      <c r="F63">
        <v>30</v>
      </c>
      <c r="G63">
        <v>47</v>
      </c>
      <c r="H63">
        <v>3</v>
      </c>
      <c r="I63">
        <v>34</v>
      </c>
      <c r="J63">
        <v>50</v>
      </c>
      <c r="K63">
        <v>4</v>
      </c>
      <c r="L63">
        <v>14476.354447538301</v>
      </c>
      <c r="M63">
        <v>258.976991</v>
      </c>
      <c r="N63">
        <v>12846.7181138011</v>
      </c>
      <c r="O63">
        <v>273.24266</v>
      </c>
      <c r="P63">
        <v>3</v>
      </c>
      <c r="Q63">
        <v>4.84305788061564E-2</v>
      </c>
      <c r="R63" s="1">
        <v>6.2905013844066695E-4</v>
      </c>
      <c r="S63">
        <v>-4.0711055990663797E-2</v>
      </c>
    </row>
    <row r="64" spans="1:19" x14ac:dyDescent="0.25">
      <c r="A64" t="s">
        <v>42</v>
      </c>
      <c r="B64">
        <v>44624.2</v>
      </c>
      <c r="C64">
        <v>79861.600000000006</v>
      </c>
      <c r="D64">
        <v>138143</v>
      </c>
      <c r="E64">
        <v>3</v>
      </c>
      <c r="F64">
        <v>30</v>
      </c>
      <c r="G64">
        <v>55</v>
      </c>
      <c r="H64">
        <v>4</v>
      </c>
      <c r="I64">
        <v>48</v>
      </c>
      <c r="J64">
        <v>64</v>
      </c>
      <c r="K64">
        <v>3</v>
      </c>
      <c r="L64">
        <v>14404.13279148</v>
      </c>
      <c r="M64">
        <v>240.36434299999999</v>
      </c>
      <c r="N64">
        <v>14862.1280318688</v>
      </c>
      <c r="O64">
        <v>228.05071100000001</v>
      </c>
      <c r="P64">
        <v>2</v>
      </c>
      <c r="Q64">
        <v>0</v>
      </c>
      <c r="R64">
        <v>0</v>
      </c>
      <c r="S64">
        <v>-1.9464664559847801E-3</v>
      </c>
    </row>
    <row r="65" spans="1:19" x14ac:dyDescent="0.25">
      <c r="A65" t="s">
        <v>42</v>
      </c>
      <c r="B65">
        <v>44624.2</v>
      </c>
      <c r="C65">
        <v>79861.600000000006</v>
      </c>
      <c r="D65">
        <v>138143</v>
      </c>
      <c r="E65">
        <v>3</v>
      </c>
      <c r="F65">
        <v>30</v>
      </c>
      <c r="G65">
        <v>55</v>
      </c>
      <c r="H65">
        <v>4</v>
      </c>
      <c r="I65">
        <v>48</v>
      </c>
      <c r="J65">
        <v>48</v>
      </c>
      <c r="K65">
        <v>3</v>
      </c>
      <c r="L65">
        <v>14404.13279148</v>
      </c>
      <c r="M65">
        <v>240.36434299999999</v>
      </c>
      <c r="N65">
        <v>14404.13279148</v>
      </c>
      <c r="O65">
        <v>240.36434299999999</v>
      </c>
      <c r="P65">
        <v>8</v>
      </c>
      <c r="Q65">
        <v>1.64472282886007E-2</v>
      </c>
      <c r="R65">
        <v>1.83936947445855E-2</v>
      </c>
      <c r="S65">
        <v>-1.83936947445855E-2</v>
      </c>
    </row>
    <row r="66" spans="1:19" x14ac:dyDescent="0.25">
      <c r="A66" t="s">
        <v>42</v>
      </c>
      <c r="B66">
        <v>44624.2</v>
      </c>
      <c r="C66">
        <v>79861.600000000006</v>
      </c>
      <c r="D66">
        <v>138143</v>
      </c>
      <c r="E66">
        <v>3</v>
      </c>
      <c r="F66">
        <v>30</v>
      </c>
      <c r="G66">
        <v>55</v>
      </c>
      <c r="H66">
        <v>4</v>
      </c>
      <c r="I66">
        <v>48</v>
      </c>
      <c r="J66">
        <v>54</v>
      </c>
      <c r="K66">
        <v>3</v>
      </c>
      <c r="L66">
        <v>14404.13279148</v>
      </c>
      <c r="M66">
        <v>240.36434299999999</v>
      </c>
      <c r="N66">
        <v>14008.306778374799</v>
      </c>
      <c r="O66">
        <v>267.40073599999999</v>
      </c>
      <c r="P66">
        <v>1</v>
      </c>
      <c r="Q66">
        <v>1.42146472845031E-2</v>
      </c>
      <c r="R66">
        <v>4.0386066421073001E-2</v>
      </c>
      <c r="S66">
        <v>-1.42146472845031E-2</v>
      </c>
    </row>
    <row r="67" spans="1:19" x14ac:dyDescent="0.25">
      <c r="A67" t="s">
        <v>43</v>
      </c>
      <c r="B67">
        <v>35391.4</v>
      </c>
      <c r="C67">
        <v>93847.2</v>
      </c>
      <c r="D67">
        <v>138143</v>
      </c>
      <c r="E67">
        <v>3</v>
      </c>
      <c r="F67">
        <v>30</v>
      </c>
      <c r="G67">
        <v>44</v>
      </c>
      <c r="H67">
        <v>3</v>
      </c>
      <c r="I67">
        <v>28</v>
      </c>
      <c r="J67">
        <v>28</v>
      </c>
      <c r="K67">
        <v>2</v>
      </c>
      <c r="L67">
        <v>3924.72919886921</v>
      </c>
      <c r="M67">
        <v>192.402455</v>
      </c>
      <c r="N67">
        <v>3924.72919886921</v>
      </c>
      <c r="O67">
        <v>192.402455</v>
      </c>
      <c r="P67">
        <v>1</v>
      </c>
      <c r="Q67">
        <v>0</v>
      </c>
      <c r="R67">
        <v>0</v>
      </c>
      <c r="S67">
        <v>0</v>
      </c>
    </row>
    <row r="68" spans="1:19" x14ac:dyDescent="0.25">
      <c r="A68" t="s">
        <v>43</v>
      </c>
      <c r="B68">
        <v>35391.4</v>
      </c>
      <c r="C68">
        <v>93847.2</v>
      </c>
      <c r="D68">
        <v>138143</v>
      </c>
      <c r="E68">
        <v>3</v>
      </c>
      <c r="F68">
        <v>30</v>
      </c>
      <c r="G68">
        <v>44</v>
      </c>
      <c r="H68">
        <v>3</v>
      </c>
      <c r="I68">
        <v>28</v>
      </c>
      <c r="J68">
        <v>36</v>
      </c>
      <c r="K68">
        <v>2</v>
      </c>
      <c r="L68">
        <v>3924.72919886921</v>
      </c>
      <c r="M68">
        <v>192.402455</v>
      </c>
      <c r="N68">
        <v>3122.1961822364001</v>
      </c>
      <c r="O68">
        <v>231.06689399999999</v>
      </c>
      <c r="P68">
        <v>1</v>
      </c>
      <c r="Q68">
        <v>3.35231434304726E-2</v>
      </c>
      <c r="R68">
        <v>8.1479678522653406E-2</v>
      </c>
      <c r="S68">
        <v>-3.35231434304726E-2</v>
      </c>
    </row>
    <row r="69" spans="1:19" x14ac:dyDescent="0.25">
      <c r="A69" t="s">
        <v>44</v>
      </c>
      <c r="B69">
        <v>25227</v>
      </c>
      <c r="C69">
        <v>84794.5</v>
      </c>
      <c r="D69">
        <v>138143</v>
      </c>
      <c r="E69">
        <v>3</v>
      </c>
      <c r="F69">
        <v>30</v>
      </c>
      <c r="G69">
        <v>44</v>
      </c>
      <c r="H69">
        <v>3</v>
      </c>
      <c r="I69">
        <v>34</v>
      </c>
      <c r="J69">
        <v>34</v>
      </c>
      <c r="K69">
        <v>2</v>
      </c>
      <c r="L69">
        <v>7882.2361181777796</v>
      </c>
      <c r="M69">
        <v>205.29021399999999</v>
      </c>
      <c r="N69">
        <v>7747.7116309756702</v>
      </c>
      <c r="O69">
        <v>193.91724499999901</v>
      </c>
      <c r="P69">
        <v>1</v>
      </c>
      <c r="Q69">
        <v>0</v>
      </c>
      <c r="R69">
        <v>0</v>
      </c>
      <c r="S69">
        <v>-2.4827766437763198E-2</v>
      </c>
    </row>
    <row r="70" spans="1:19" x14ac:dyDescent="0.25">
      <c r="A70" t="s">
        <v>44</v>
      </c>
      <c r="B70">
        <v>25227</v>
      </c>
      <c r="C70">
        <v>84794.5</v>
      </c>
      <c r="D70">
        <v>138143</v>
      </c>
      <c r="E70">
        <v>3</v>
      </c>
      <c r="F70">
        <v>30</v>
      </c>
      <c r="G70">
        <v>44</v>
      </c>
      <c r="H70">
        <v>3</v>
      </c>
      <c r="I70">
        <v>34</v>
      </c>
      <c r="J70">
        <v>30</v>
      </c>
      <c r="K70">
        <v>2</v>
      </c>
      <c r="L70">
        <v>7882.2361181777796</v>
      </c>
      <c r="M70">
        <v>205.29021399999999</v>
      </c>
      <c r="N70">
        <v>7120.3467062208701</v>
      </c>
      <c r="O70">
        <v>203.02280499999901</v>
      </c>
      <c r="P70">
        <v>1</v>
      </c>
      <c r="Q70">
        <v>2.2521037780387901E-2</v>
      </c>
      <c r="R70">
        <v>1.6011537698593901E-2</v>
      </c>
      <c r="S70">
        <v>-4.73488042181512E-2</v>
      </c>
    </row>
    <row r="71" spans="1:19" x14ac:dyDescent="0.25">
      <c r="A71" t="s">
        <v>45</v>
      </c>
      <c r="B71">
        <v>32498</v>
      </c>
      <c r="C71">
        <v>82331.7</v>
      </c>
      <c r="D71">
        <v>138143</v>
      </c>
      <c r="E71">
        <v>3</v>
      </c>
      <c r="F71">
        <v>30</v>
      </c>
      <c r="G71">
        <v>57</v>
      </c>
      <c r="H71">
        <v>4</v>
      </c>
      <c r="I71">
        <v>52</v>
      </c>
      <c r="J71">
        <v>52</v>
      </c>
      <c r="K71">
        <v>4</v>
      </c>
      <c r="L71">
        <v>13575.052133229799</v>
      </c>
      <c r="M71">
        <v>364.781834</v>
      </c>
      <c r="N71">
        <v>13575.052133229799</v>
      </c>
      <c r="O71">
        <v>363.40562499999999</v>
      </c>
      <c r="P71">
        <v>1</v>
      </c>
      <c r="Q71">
        <v>0</v>
      </c>
      <c r="R71">
        <v>0</v>
      </c>
      <c r="S71">
        <v>-2.1562761090022598E-3</v>
      </c>
    </row>
    <row r="72" spans="1:19" x14ac:dyDescent="0.25">
      <c r="A72" t="s">
        <v>45</v>
      </c>
      <c r="B72">
        <v>32498</v>
      </c>
      <c r="C72">
        <v>82331.7</v>
      </c>
      <c r="D72">
        <v>138143</v>
      </c>
      <c r="E72">
        <v>3</v>
      </c>
      <c r="F72">
        <v>30</v>
      </c>
      <c r="G72">
        <v>57</v>
      </c>
      <c r="H72">
        <v>4</v>
      </c>
      <c r="I72">
        <v>52</v>
      </c>
      <c r="J72">
        <v>52</v>
      </c>
      <c r="K72">
        <v>4</v>
      </c>
      <c r="L72">
        <v>13575.052133229799</v>
      </c>
      <c r="M72">
        <v>364.781834</v>
      </c>
      <c r="N72">
        <v>13363.5817616643</v>
      </c>
      <c r="O72">
        <v>365.51298100000002</v>
      </c>
      <c r="P72">
        <v>1</v>
      </c>
      <c r="Q72">
        <v>7.9428251806259401E-3</v>
      </c>
      <c r="R72">
        <v>3.3018541485796398E-3</v>
      </c>
      <c r="S72">
        <v>-1.0099101289628201E-2</v>
      </c>
    </row>
    <row r="73" spans="1:19" x14ac:dyDescent="0.25">
      <c r="A73" t="s">
        <v>45</v>
      </c>
      <c r="B73">
        <v>32498</v>
      </c>
      <c r="C73">
        <v>82331.7</v>
      </c>
      <c r="D73">
        <v>138143</v>
      </c>
      <c r="E73">
        <v>3</v>
      </c>
      <c r="F73">
        <v>30</v>
      </c>
      <c r="G73">
        <v>57</v>
      </c>
      <c r="H73">
        <v>4</v>
      </c>
      <c r="I73">
        <v>52</v>
      </c>
      <c r="J73">
        <v>58</v>
      </c>
      <c r="K73">
        <v>4</v>
      </c>
      <c r="L73">
        <v>13575.052133229799</v>
      </c>
      <c r="M73">
        <v>364.781834</v>
      </c>
      <c r="N73">
        <v>13226.8546246187</v>
      </c>
      <c r="O73">
        <v>384.57742000000002</v>
      </c>
      <c r="P73">
        <v>1</v>
      </c>
      <c r="Q73">
        <v>5.1354699902448897E-3</v>
      </c>
      <c r="R73">
        <v>2.9870604208539799E-2</v>
      </c>
      <c r="S73">
        <v>-1.19327171312934E-2</v>
      </c>
    </row>
    <row r="74" spans="1:19" x14ac:dyDescent="0.25">
      <c r="A74" t="s">
        <v>45</v>
      </c>
      <c r="B74">
        <v>32498</v>
      </c>
      <c r="C74">
        <v>82331.7</v>
      </c>
      <c r="D74">
        <v>138143</v>
      </c>
      <c r="E74">
        <v>3</v>
      </c>
      <c r="F74">
        <v>30</v>
      </c>
      <c r="G74">
        <v>57</v>
      </c>
      <c r="H74">
        <v>4</v>
      </c>
      <c r="I74">
        <v>52</v>
      </c>
      <c r="J74">
        <v>60</v>
      </c>
      <c r="K74">
        <v>4</v>
      </c>
      <c r="L74">
        <v>13575.052133229799</v>
      </c>
      <c r="M74">
        <v>364.781834</v>
      </c>
      <c r="N74">
        <v>12910.625258391899</v>
      </c>
      <c r="O74">
        <v>397.14807999999999</v>
      </c>
      <c r="P74">
        <v>2</v>
      </c>
      <c r="Q74">
        <v>1.18775720415366E-2</v>
      </c>
      <c r="R74">
        <v>1.96960009943184E-2</v>
      </c>
      <c r="S74">
        <v>6.0603150357097504E-3</v>
      </c>
    </row>
    <row r="75" spans="1:19" x14ac:dyDescent="0.25">
      <c r="A75" t="s">
        <v>46</v>
      </c>
      <c r="B75">
        <v>31721.599999999999</v>
      </c>
      <c r="C75">
        <v>83370.3</v>
      </c>
      <c r="D75">
        <v>138143</v>
      </c>
      <c r="E75">
        <v>3</v>
      </c>
      <c r="F75">
        <v>30</v>
      </c>
      <c r="G75">
        <v>47</v>
      </c>
      <c r="H75">
        <v>4</v>
      </c>
      <c r="I75">
        <v>34</v>
      </c>
      <c r="J75">
        <v>34</v>
      </c>
      <c r="K75">
        <v>2</v>
      </c>
      <c r="L75">
        <v>8297.1211551145698</v>
      </c>
      <c r="M75">
        <v>244.16914800000001</v>
      </c>
      <c r="N75">
        <v>8297.1211551145698</v>
      </c>
      <c r="O75">
        <v>244.16914800000001</v>
      </c>
      <c r="P75">
        <v>1</v>
      </c>
      <c r="Q75">
        <v>0</v>
      </c>
      <c r="R75">
        <v>0</v>
      </c>
      <c r="S75">
        <v>0</v>
      </c>
    </row>
    <row r="76" spans="1:19" x14ac:dyDescent="0.25">
      <c r="A76" t="s">
        <v>46</v>
      </c>
      <c r="B76">
        <v>31721.599999999999</v>
      </c>
      <c r="C76">
        <v>83370.3</v>
      </c>
      <c r="D76">
        <v>138143</v>
      </c>
      <c r="E76">
        <v>3</v>
      </c>
      <c r="F76">
        <v>30</v>
      </c>
      <c r="G76">
        <v>47</v>
      </c>
      <c r="H76">
        <v>4</v>
      </c>
      <c r="I76">
        <v>34</v>
      </c>
      <c r="J76">
        <v>54</v>
      </c>
      <c r="K76">
        <v>2</v>
      </c>
      <c r="L76">
        <v>8297.1211551145698</v>
      </c>
      <c r="M76">
        <v>244.16914800000001</v>
      </c>
      <c r="N76">
        <v>8017.9010084068505</v>
      </c>
      <c r="O76">
        <v>305.01948499999997</v>
      </c>
      <c r="P76">
        <v>1</v>
      </c>
      <c r="Q76">
        <v>1.01904016143221E-2</v>
      </c>
      <c r="R76">
        <v>0.122104326237467</v>
      </c>
      <c r="S76">
        <v>-1.01904016143221E-2</v>
      </c>
    </row>
    <row r="77" spans="1:19" x14ac:dyDescent="0.25">
      <c r="A77" t="s">
        <v>47</v>
      </c>
      <c r="B77">
        <v>27361.5</v>
      </c>
      <c r="C77">
        <v>113621.2</v>
      </c>
      <c r="D77">
        <v>138143</v>
      </c>
      <c r="E77">
        <v>3</v>
      </c>
      <c r="F77">
        <v>30</v>
      </c>
      <c r="G77">
        <v>51</v>
      </c>
      <c r="H77">
        <v>4</v>
      </c>
      <c r="I77">
        <v>44</v>
      </c>
      <c r="J77">
        <v>44</v>
      </c>
      <c r="K77">
        <v>3</v>
      </c>
      <c r="L77">
        <v>4377.0092794873199</v>
      </c>
      <c r="M77">
        <v>292.05269399999997</v>
      </c>
      <c r="N77">
        <v>4377.0092794873199</v>
      </c>
      <c r="O77">
        <v>292.05269399999997</v>
      </c>
      <c r="P77">
        <v>5</v>
      </c>
      <c r="Q77">
        <v>0</v>
      </c>
      <c r="R77">
        <v>0</v>
      </c>
      <c r="S77">
        <v>0</v>
      </c>
    </row>
    <row r="78" spans="1:19" x14ac:dyDescent="0.25">
      <c r="A78" t="s">
        <v>47</v>
      </c>
      <c r="B78">
        <v>27361.5</v>
      </c>
      <c r="C78">
        <v>113621.2</v>
      </c>
      <c r="D78">
        <v>138143</v>
      </c>
      <c r="E78">
        <v>3</v>
      </c>
      <c r="F78">
        <v>30</v>
      </c>
      <c r="G78">
        <v>51</v>
      </c>
      <c r="H78">
        <v>4</v>
      </c>
      <c r="I78">
        <v>44</v>
      </c>
      <c r="J78">
        <v>52</v>
      </c>
      <c r="K78">
        <v>3</v>
      </c>
      <c r="L78">
        <v>4377.0092794873199</v>
      </c>
      <c r="M78">
        <v>292.05269399999997</v>
      </c>
      <c r="N78">
        <v>2950.3031766469899</v>
      </c>
      <c r="O78">
        <v>299.840858999999</v>
      </c>
      <c r="P78">
        <v>1</v>
      </c>
      <c r="Q78">
        <v>5.1088493046504001E-2</v>
      </c>
      <c r="R78">
        <v>1.48560142796002E-2</v>
      </c>
      <c r="S78">
        <v>-5.1088493046504001E-2</v>
      </c>
    </row>
    <row r="79" spans="1:19" x14ac:dyDescent="0.25">
      <c r="A79" t="s">
        <v>47</v>
      </c>
      <c r="B79">
        <v>27361.5</v>
      </c>
      <c r="C79">
        <v>113621.2</v>
      </c>
      <c r="D79">
        <v>138143</v>
      </c>
      <c r="E79">
        <v>3</v>
      </c>
      <c r="F79">
        <v>30</v>
      </c>
      <c r="G79">
        <v>51</v>
      </c>
      <c r="H79">
        <v>4</v>
      </c>
      <c r="I79">
        <v>44</v>
      </c>
      <c r="J79">
        <v>54</v>
      </c>
      <c r="K79">
        <v>3</v>
      </c>
      <c r="L79">
        <v>4377.0092794873199</v>
      </c>
      <c r="M79">
        <v>292.05269399999997</v>
      </c>
      <c r="N79">
        <v>2684.3944335312499</v>
      </c>
      <c r="O79">
        <v>330.865815</v>
      </c>
      <c r="P79">
        <v>1</v>
      </c>
      <c r="Q79">
        <v>9.5218468236926198E-3</v>
      </c>
      <c r="R79">
        <v>5.9180460270163701E-2</v>
      </c>
      <c r="S79">
        <v>-4.57543255905963E-2</v>
      </c>
    </row>
    <row r="80" spans="1:19" x14ac:dyDescent="0.25">
      <c r="A80" t="s">
        <v>48</v>
      </c>
      <c r="B80">
        <v>42630.3</v>
      </c>
      <c r="C80">
        <v>1912</v>
      </c>
      <c r="D80">
        <v>138143</v>
      </c>
      <c r="E80">
        <v>3</v>
      </c>
      <c r="F80">
        <v>30</v>
      </c>
      <c r="G80">
        <v>74</v>
      </c>
      <c r="H80">
        <v>4</v>
      </c>
      <c r="I80">
        <v>88</v>
      </c>
      <c r="J80">
        <v>112</v>
      </c>
      <c r="K80">
        <v>2</v>
      </c>
      <c r="L80">
        <v>7831.1498694308402</v>
      </c>
      <c r="M80">
        <v>282.85732899999999</v>
      </c>
      <c r="N80">
        <v>7628.9204226564698</v>
      </c>
      <c r="O80">
        <v>258.83718800000003</v>
      </c>
      <c r="P80">
        <v>5226</v>
      </c>
      <c r="Q80">
        <v>0</v>
      </c>
      <c r="R80">
        <v>0</v>
      </c>
      <c r="S80">
        <v>-3.2311636616844698E-2</v>
      </c>
    </row>
    <row r="81" spans="1:19" x14ac:dyDescent="0.25">
      <c r="A81" t="s">
        <v>48</v>
      </c>
      <c r="B81">
        <v>42630.3</v>
      </c>
      <c r="C81">
        <v>1912</v>
      </c>
      <c r="D81">
        <v>138143</v>
      </c>
      <c r="E81">
        <v>3</v>
      </c>
      <c r="F81">
        <v>30</v>
      </c>
      <c r="G81">
        <v>74</v>
      </c>
      <c r="H81">
        <v>4</v>
      </c>
      <c r="I81">
        <v>88</v>
      </c>
      <c r="J81">
        <v>106</v>
      </c>
      <c r="K81">
        <v>2</v>
      </c>
      <c r="L81">
        <v>7831.1498694308402</v>
      </c>
      <c r="M81">
        <v>282.85732899999999</v>
      </c>
      <c r="N81">
        <v>7179.3324810805498</v>
      </c>
      <c r="O81">
        <v>284.55814299999997</v>
      </c>
      <c r="P81">
        <v>5507</v>
      </c>
      <c r="Q81">
        <v>1.6233338474301001E-2</v>
      </c>
      <c r="R81">
        <v>2.67805910832782E-2</v>
      </c>
      <c r="S81">
        <v>-4.8544975091145803E-2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P3_30_summary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Cardoso</cp:lastModifiedBy>
  <dcterms:created xsi:type="dcterms:W3CDTF">2026-09-09T08:38:56Z</dcterms:created>
  <dcterms:modified xsi:type="dcterms:W3CDTF">2026-09-09T08:38:56Z</dcterms:modified>
</cp:coreProperties>
</file>