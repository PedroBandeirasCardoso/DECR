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nas Normais\cardosop\BPMN_Risk_Artigo\results\"/>
    </mc:Choice>
  </mc:AlternateContent>
  <xr:revisionPtr revIDLastSave="0" documentId="13_ncr:9_{AA4BDBAE-2C93-4FB3-9A94-1F39E689DF00}" xr6:coauthVersionLast="47" xr6:coauthVersionMax="47" xr10:uidLastSave="{00000000-0000-0000-0000-000000000000}"/>
  <bookViews>
    <workbookView xWindow="-120" yWindow="-120" windowWidth="29040" windowHeight="15840" xr2:uid="{7F81A3C6-8B79-4EC8-B541-1D51E3E2359F}"/>
  </bookViews>
  <sheets>
    <sheet name="P3_10_summary" sheetId="1" r:id="rId1"/>
  </sheets>
  <definedNames>
    <definedName name="_xlnm._FilterDatabase" localSheetId="0" hidden="1">P3_10_summary!$A$1:$A$66</definedName>
  </definedNames>
  <calcPr calcId="0"/>
</workbook>
</file>

<file path=xl/calcChain.xml><?xml version="1.0" encoding="utf-8"?>
<calcChain xmlns="http://schemas.openxmlformats.org/spreadsheetml/2006/main">
  <c r="Z2" i="1" l="1"/>
  <c r="AA2" i="1"/>
  <c r="Y2" i="1"/>
  <c r="X2" i="1"/>
  <c r="W2" i="1"/>
  <c r="V2" i="1"/>
</calcChain>
</file>

<file path=xl/sharedStrings.xml><?xml version="1.0" encoding="utf-8"?>
<sst xmlns="http://schemas.openxmlformats.org/spreadsheetml/2006/main" count="55" uniqueCount="55">
  <si>
    <t>Name</t>
  </si>
  <si>
    <t>ExecutTime</t>
  </si>
  <si>
    <t>StabIt</t>
  </si>
  <si>
    <t>TotalIt</t>
  </si>
  <si>
    <t>#Participants</t>
  </si>
  <si>
    <t>#MutNodes</t>
  </si>
  <si>
    <t>#Nodes</t>
  </si>
  <si>
    <t>#Splits</t>
  </si>
  <si>
    <t>Init#Comms</t>
  </si>
  <si>
    <t>Optimal#Comms</t>
  </si>
  <si>
    <t>#OptimalSols</t>
  </si>
  <si>
    <t>InitRisk</t>
  </si>
  <si>
    <t>InitCost</t>
  </si>
  <si>
    <t>OptimalRisk</t>
  </si>
  <si>
    <t>OptimalCost</t>
  </si>
  <si>
    <t>#Configs</t>
  </si>
  <si>
    <t>RiskDist</t>
  </si>
  <si>
    <t>CostDist</t>
  </si>
  <si>
    <t>MonetaryTradeoff</t>
  </si>
  <si>
    <t>P3_10_1</t>
  </si>
  <si>
    <t>P3_10_10</t>
  </si>
  <si>
    <t>P3_10_11</t>
  </si>
  <si>
    <t>P3_10_12</t>
  </si>
  <si>
    <t>P3_10_13</t>
  </si>
  <si>
    <t>P3_10_14</t>
  </si>
  <si>
    <t>P3_10_15</t>
  </si>
  <si>
    <t>P3_10_16</t>
  </si>
  <si>
    <t>P3_10_17</t>
  </si>
  <si>
    <t>P3_10_18</t>
  </si>
  <si>
    <t>P3_10_19</t>
  </si>
  <si>
    <t>P3_10_2</t>
  </si>
  <si>
    <t>P3_10_20</t>
  </si>
  <si>
    <t>P3_10_21</t>
  </si>
  <si>
    <t>P3_10_22</t>
  </si>
  <si>
    <t>P3_10_23</t>
  </si>
  <si>
    <t>P3_10_24</t>
  </si>
  <si>
    <t>P3_10_25</t>
  </si>
  <si>
    <t>P3_10_26</t>
  </si>
  <si>
    <t>P3_10_27</t>
  </si>
  <si>
    <t>P3_10_28</t>
  </si>
  <si>
    <t>P3_10_29</t>
  </si>
  <si>
    <t>P3_10_3</t>
  </si>
  <si>
    <t>P3_10_30</t>
  </si>
  <si>
    <t>P3_10_4</t>
  </si>
  <si>
    <t>P3_10_5</t>
  </si>
  <si>
    <t>P3_10_6</t>
  </si>
  <si>
    <t>P3_10_7</t>
  </si>
  <si>
    <t>P3_10_8</t>
  </si>
  <si>
    <t>P3_10_9</t>
  </si>
  <si>
    <t>Two solutions (%)</t>
  </si>
  <si>
    <t>Three or more solutions (%)</t>
  </si>
  <si>
    <t>Max number solutions</t>
  </si>
  <si>
    <t>Average execution time (ms)</t>
  </si>
  <si>
    <t>Average stabilising iteration</t>
  </si>
  <si>
    <t>Standard deviation execution 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</si>
</sst>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946D-782F-444D-89AE-925D06D0146F}">
  <dimension ref="A1:AA31"/>
  <sheetViews>
    <sheetView tabSelected="1" topLeftCell="J1" workbookViewId="0">
      <selection activeCell="Z4" sqref="Z4"/>
    </sheetView>
  </sheetViews>
  <sheetFormatPr defaultRowHeight="15" x14ac:dyDescent="0.25"/>
  <cols>
    <col min="22" max="22" width="16.85546875" bestFit="1" customWidth="1"/>
    <col min="23" max="23" width="25.85546875" bestFit="1" customWidth="1"/>
    <col min="24" max="24" width="20.85546875" bestFit="1" customWidth="1"/>
    <col min="25" max="25" width="26.140625" bestFit="1" customWidth="1"/>
    <col min="26" max="26" width="35.42578125" bestFit="1" customWidth="1"/>
    <col min="27" max="27" width="26.57031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V1" t="s">
        <v>49</v>
      </c>
      <c r="W1" t="s">
        <v>50</v>
      </c>
      <c r="X1" t="s">
        <v>51</v>
      </c>
      <c r="Y1" t="s">
        <v>52</v>
      </c>
      <c r="Z1" t="s">
        <v>54</v>
      </c>
      <c r="AA1" s="1" t="s">
        <v>53</v>
      </c>
    </row>
    <row r="2" spans="1:27" x14ac:dyDescent="0.25">
      <c r="A2" t="s">
        <v>19</v>
      </c>
      <c r="B2">
        <v>6189.3</v>
      </c>
      <c r="C2">
        <v>400.2</v>
      </c>
      <c r="D2">
        <v>138143</v>
      </c>
      <c r="E2">
        <v>3</v>
      </c>
      <c r="F2">
        <v>10</v>
      </c>
      <c r="G2">
        <v>13</v>
      </c>
      <c r="H2">
        <v>1</v>
      </c>
      <c r="I2">
        <v>8</v>
      </c>
      <c r="J2">
        <v>8</v>
      </c>
      <c r="K2">
        <v>2</v>
      </c>
      <c r="L2">
        <v>2004.7687849190299</v>
      </c>
      <c r="M2">
        <v>11.755061999999899</v>
      </c>
      <c r="N2">
        <v>2004.7687849190299</v>
      </c>
      <c r="O2">
        <v>11.755061999999899</v>
      </c>
      <c r="P2">
        <v>243</v>
      </c>
      <c r="Q2">
        <v>0</v>
      </c>
      <c r="R2">
        <v>0</v>
      </c>
      <c r="S2">
        <v>0</v>
      </c>
      <c r="V2">
        <f>COUNTIF($K2:$K31,2)/30</f>
        <v>0.5</v>
      </c>
      <c r="W2">
        <f>COUNTIF($K2:$K31,"&gt;2")/30</f>
        <v>0.2</v>
      </c>
      <c r="X2">
        <f>LARGE($K2:$K31,1)</f>
        <v>7</v>
      </c>
      <c r="Y2">
        <f>SUM($B2:$B31)/30</f>
        <v>8035.550000000002</v>
      </c>
      <c r="Z2">
        <f>_xlfn.STDEV.P($B2:$B31)</f>
        <v>1529.3761402937939</v>
      </c>
      <c r="AA2">
        <f>SUM($C2:$C31)/30</f>
        <v>32692.593333333338</v>
      </c>
    </row>
    <row r="3" spans="1:27" x14ac:dyDescent="0.25">
      <c r="A3" t="s">
        <v>20</v>
      </c>
      <c r="B3">
        <v>7688.9</v>
      </c>
      <c r="C3">
        <v>248.2</v>
      </c>
      <c r="D3">
        <v>138143</v>
      </c>
      <c r="E3">
        <v>3</v>
      </c>
      <c r="F3">
        <v>10</v>
      </c>
      <c r="G3">
        <v>14</v>
      </c>
      <c r="H3">
        <v>1</v>
      </c>
      <c r="I3">
        <v>12</v>
      </c>
      <c r="J3">
        <v>10</v>
      </c>
      <c r="K3">
        <v>1</v>
      </c>
      <c r="L3">
        <v>3523.2592745760398</v>
      </c>
      <c r="M3">
        <v>50.891838999999997</v>
      </c>
      <c r="N3">
        <v>2865.68152883742</v>
      </c>
      <c r="O3">
        <v>39.657225999999902</v>
      </c>
      <c r="P3">
        <v>729</v>
      </c>
      <c r="Q3">
        <v>0</v>
      </c>
      <c r="R3">
        <v>0</v>
      </c>
      <c r="S3">
        <v>-7.4036339813531193E-2</v>
      </c>
    </row>
    <row r="4" spans="1:27" x14ac:dyDescent="0.25">
      <c r="A4" t="s">
        <v>21</v>
      </c>
      <c r="B4">
        <v>11946.2</v>
      </c>
      <c r="C4">
        <v>716.3</v>
      </c>
      <c r="D4">
        <v>138143</v>
      </c>
      <c r="E4">
        <v>3</v>
      </c>
      <c r="F4">
        <v>10</v>
      </c>
      <c r="G4">
        <v>18</v>
      </c>
      <c r="H4">
        <v>1</v>
      </c>
      <c r="I4">
        <v>18</v>
      </c>
      <c r="J4">
        <v>24</v>
      </c>
      <c r="K4">
        <v>2</v>
      </c>
      <c r="L4">
        <v>7106.3014745788996</v>
      </c>
      <c r="M4">
        <v>60.686453999999998</v>
      </c>
      <c r="N4">
        <v>6649.6091898894701</v>
      </c>
      <c r="O4">
        <v>52.225878999999999</v>
      </c>
      <c r="P4">
        <v>243</v>
      </c>
      <c r="Q4">
        <v>0</v>
      </c>
      <c r="R4">
        <v>0</v>
      </c>
      <c r="S4">
        <v>-5.2601186555722199E-2</v>
      </c>
    </row>
    <row r="5" spans="1:27" x14ac:dyDescent="0.25">
      <c r="A5" t="s">
        <v>22</v>
      </c>
      <c r="B5">
        <v>8287</v>
      </c>
      <c r="C5">
        <v>56570.1</v>
      </c>
      <c r="D5">
        <v>138143</v>
      </c>
      <c r="E5">
        <v>3</v>
      </c>
      <c r="F5">
        <v>10</v>
      </c>
      <c r="G5">
        <v>14</v>
      </c>
      <c r="H5">
        <v>1</v>
      </c>
      <c r="I5">
        <v>8</v>
      </c>
      <c r="J5">
        <v>8</v>
      </c>
      <c r="K5">
        <v>2</v>
      </c>
      <c r="L5">
        <v>3986.10766974119</v>
      </c>
      <c r="M5">
        <v>49.357517000000001</v>
      </c>
      <c r="N5">
        <v>3846.4687074373801</v>
      </c>
      <c r="O5">
        <v>49.357517000000001</v>
      </c>
      <c r="P5">
        <v>1</v>
      </c>
      <c r="Q5">
        <v>0</v>
      </c>
      <c r="R5">
        <v>0</v>
      </c>
      <c r="S5">
        <v>-5.1754615982816101E-3</v>
      </c>
    </row>
    <row r="6" spans="1:27" x14ac:dyDescent="0.25">
      <c r="A6" t="s">
        <v>23</v>
      </c>
      <c r="B6">
        <v>7469</v>
      </c>
      <c r="C6">
        <v>33741.1</v>
      </c>
      <c r="D6">
        <v>138143</v>
      </c>
      <c r="E6">
        <v>3</v>
      </c>
      <c r="F6">
        <v>10</v>
      </c>
      <c r="G6">
        <v>13</v>
      </c>
      <c r="H6">
        <v>1</v>
      </c>
      <c r="I6">
        <v>8</v>
      </c>
      <c r="J6">
        <v>6</v>
      </c>
      <c r="K6">
        <v>2</v>
      </c>
      <c r="L6">
        <v>4031.1301493642</v>
      </c>
      <c r="M6">
        <v>46.666533000000001</v>
      </c>
      <c r="N6">
        <v>4031.1301493642</v>
      </c>
      <c r="O6">
        <v>38.513182999999998</v>
      </c>
      <c r="P6">
        <v>1</v>
      </c>
      <c r="Q6">
        <v>0</v>
      </c>
      <c r="R6">
        <v>0</v>
      </c>
      <c r="S6">
        <v>-4.2346542610871202E-2</v>
      </c>
    </row>
    <row r="7" spans="1:27" x14ac:dyDescent="0.25">
      <c r="A7" t="s">
        <v>24</v>
      </c>
      <c r="B7">
        <v>6093.7</v>
      </c>
      <c r="C7">
        <v>746.3</v>
      </c>
      <c r="D7">
        <v>138143</v>
      </c>
      <c r="E7">
        <v>3</v>
      </c>
      <c r="F7">
        <v>10</v>
      </c>
      <c r="G7">
        <v>13</v>
      </c>
      <c r="H7">
        <v>1</v>
      </c>
      <c r="I7">
        <v>8</v>
      </c>
      <c r="J7">
        <v>16</v>
      </c>
      <c r="K7">
        <v>2</v>
      </c>
      <c r="L7">
        <v>3022.1654448110198</v>
      </c>
      <c r="M7">
        <v>11.82551</v>
      </c>
      <c r="N7">
        <v>3022.1654448110198</v>
      </c>
      <c r="O7">
        <v>1.9309430000000001</v>
      </c>
      <c r="P7">
        <v>243</v>
      </c>
      <c r="Q7">
        <v>0</v>
      </c>
      <c r="R7">
        <v>0</v>
      </c>
      <c r="S7">
        <v>-6.4218059571901895E-2</v>
      </c>
    </row>
    <row r="8" spans="1:27" x14ac:dyDescent="0.25">
      <c r="A8" t="s">
        <v>25</v>
      </c>
      <c r="B8">
        <v>8213.6</v>
      </c>
      <c r="C8">
        <v>68844.600000000006</v>
      </c>
      <c r="D8">
        <v>138143</v>
      </c>
      <c r="E8">
        <v>3</v>
      </c>
      <c r="F8">
        <v>10</v>
      </c>
      <c r="G8">
        <v>13</v>
      </c>
      <c r="H8">
        <v>1</v>
      </c>
      <c r="I8">
        <v>8</v>
      </c>
      <c r="J8">
        <v>14</v>
      </c>
      <c r="K8">
        <v>7</v>
      </c>
      <c r="L8">
        <v>7332.3918965893799</v>
      </c>
      <c r="M8">
        <v>45.778595000000003</v>
      </c>
      <c r="N8">
        <v>9578.9882245155495</v>
      </c>
      <c r="O8">
        <v>44.274177999999999</v>
      </c>
      <c r="P8">
        <v>24</v>
      </c>
      <c r="Q8">
        <v>0</v>
      </c>
      <c r="R8">
        <v>0</v>
      </c>
      <c r="S8">
        <v>7.4104045722865594E-2</v>
      </c>
    </row>
    <row r="9" spans="1:27" x14ac:dyDescent="0.25">
      <c r="A9" t="s">
        <v>26</v>
      </c>
      <c r="B9">
        <v>7435.3</v>
      </c>
      <c r="C9">
        <v>226.3</v>
      </c>
      <c r="D9">
        <v>138143</v>
      </c>
      <c r="E9">
        <v>3</v>
      </c>
      <c r="F9">
        <v>10</v>
      </c>
      <c r="G9">
        <v>13</v>
      </c>
      <c r="H9">
        <v>1</v>
      </c>
      <c r="I9">
        <v>8</v>
      </c>
      <c r="J9">
        <v>14</v>
      </c>
      <c r="K9">
        <v>1</v>
      </c>
      <c r="L9">
        <v>1433.8284633820799</v>
      </c>
      <c r="M9">
        <v>11.630100000000001</v>
      </c>
      <c r="N9">
        <v>1433.8284633820799</v>
      </c>
      <c r="O9">
        <v>1.8461419999999999</v>
      </c>
      <c r="P9">
        <v>729</v>
      </c>
      <c r="Q9">
        <v>0</v>
      </c>
      <c r="R9">
        <v>0</v>
      </c>
      <c r="S9">
        <v>-5.5216824941280503E-2</v>
      </c>
    </row>
    <row r="10" spans="1:27" x14ac:dyDescent="0.25">
      <c r="A10" t="s">
        <v>27</v>
      </c>
      <c r="B10">
        <v>9596.1</v>
      </c>
      <c r="C10">
        <v>45046.9</v>
      </c>
      <c r="D10">
        <v>138143</v>
      </c>
      <c r="E10">
        <v>3</v>
      </c>
      <c r="F10">
        <v>10</v>
      </c>
      <c r="G10">
        <v>17</v>
      </c>
      <c r="H10">
        <v>1</v>
      </c>
      <c r="I10">
        <v>18</v>
      </c>
      <c r="J10">
        <v>12</v>
      </c>
      <c r="K10">
        <v>3</v>
      </c>
      <c r="L10">
        <v>7001.1628964933598</v>
      </c>
      <c r="M10">
        <v>134.82849100000001</v>
      </c>
      <c r="N10">
        <v>7001.1628964933598</v>
      </c>
      <c r="O10">
        <v>114.117885</v>
      </c>
      <c r="P10">
        <v>3</v>
      </c>
      <c r="Q10">
        <v>0</v>
      </c>
      <c r="R10">
        <v>0</v>
      </c>
      <c r="S10">
        <v>-8.7329520980685194E-2</v>
      </c>
    </row>
    <row r="11" spans="1:27" x14ac:dyDescent="0.25">
      <c r="A11" t="s">
        <v>28</v>
      </c>
      <c r="B11">
        <v>6635.1</v>
      </c>
      <c r="C11">
        <v>55507.1</v>
      </c>
      <c r="D11">
        <v>138143</v>
      </c>
      <c r="E11">
        <v>3</v>
      </c>
      <c r="F11">
        <v>10</v>
      </c>
      <c r="G11">
        <v>13</v>
      </c>
      <c r="H11">
        <v>1</v>
      </c>
      <c r="I11">
        <v>8</v>
      </c>
      <c r="J11">
        <v>6</v>
      </c>
      <c r="K11">
        <v>2</v>
      </c>
      <c r="L11">
        <v>2611.8506620499402</v>
      </c>
      <c r="M11">
        <v>49.338610000000003</v>
      </c>
      <c r="N11">
        <v>2611.8506620499402</v>
      </c>
      <c r="O11">
        <v>38.978811</v>
      </c>
      <c r="P11">
        <v>1</v>
      </c>
      <c r="Q11">
        <v>0</v>
      </c>
      <c r="R11">
        <v>0</v>
      </c>
      <c r="S11">
        <v>-6.5205588365813305E-2</v>
      </c>
    </row>
    <row r="12" spans="1:27" x14ac:dyDescent="0.25">
      <c r="A12" t="s">
        <v>29</v>
      </c>
      <c r="B12">
        <v>6220.8</v>
      </c>
      <c r="C12">
        <v>1</v>
      </c>
      <c r="D12">
        <v>138143</v>
      </c>
      <c r="E12">
        <v>3</v>
      </c>
      <c r="F12">
        <v>10</v>
      </c>
      <c r="G12">
        <v>16</v>
      </c>
      <c r="H12">
        <v>0</v>
      </c>
      <c r="I12">
        <v>8</v>
      </c>
      <c r="J12">
        <v>8</v>
      </c>
      <c r="K12">
        <v>1</v>
      </c>
      <c r="L12">
        <v>3153.4471967920199</v>
      </c>
      <c r="M12">
        <v>53.505376999999903</v>
      </c>
      <c r="N12">
        <v>3153.4471967920199</v>
      </c>
      <c r="O12">
        <v>53.505376999999903</v>
      </c>
      <c r="P12">
        <v>4</v>
      </c>
      <c r="Q12">
        <v>0</v>
      </c>
      <c r="R12">
        <v>0</v>
      </c>
      <c r="S12">
        <v>0</v>
      </c>
    </row>
    <row r="13" spans="1:27" x14ac:dyDescent="0.25">
      <c r="A13" t="s">
        <v>30</v>
      </c>
      <c r="B13">
        <v>7616.6</v>
      </c>
      <c r="C13">
        <v>18410.3</v>
      </c>
      <c r="D13">
        <v>138143</v>
      </c>
      <c r="E13">
        <v>3</v>
      </c>
      <c r="F13">
        <v>10</v>
      </c>
      <c r="G13">
        <v>16</v>
      </c>
      <c r="H13">
        <v>0</v>
      </c>
      <c r="I13">
        <v>14</v>
      </c>
      <c r="J13">
        <v>12</v>
      </c>
      <c r="K13">
        <v>1</v>
      </c>
      <c r="L13">
        <v>3879.3013943994401</v>
      </c>
      <c r="M13">
        <v>97.259748000000002</v>
      </c>
      <c r="N13">
        <v>3037.4932594442698</v>
      </c>
      <c r="O13">
        <v>88.737786999999997</v>
      </c>
      <c r="P13">
        <v>3</v>
      </c>
      <c r="Q13">
        <v>0</v>
      </c>
      <c r="R13">
        <v>0</v>
      </c>
      <c r="S13">
        <v>-7.0157426632018294E-2</v>
      </c>
    </row>
    <row r="14" spans="1:27" x14ac:dyDescent="0.25">
      <c r="A14" t="s">
        <v>31</v>
      </c>
      <c r="B14">
        <v>7941.6</v>
      </c>
      <c r="C14">
        <v>103.1</v>
      </c>
      <c r="D14">
        <v>138143</v>
      </c>
      <c r="E14">
        <v>3</v>
      </c>
      <c r="F14">
        <v>10</v>
      </c>
      <c r="G14">
        <v>14</v>
      </c>
      <c r="H14">
        <v>2</v>
      </c>
      <c r="I14">
        <v>12</v>
      </c>
      <c r="J14">
        <v>12</v>
      </c>
      <c r="K14">
        <v>2</v>
      </c>
      <c r="L14">
        <v>1374.2523943108699</v>
      </c>
      <c r="M14">
        <v>14.077518</v>
      </c>
      <c r="N14">
        <v>1374.2523943108699</v>
      </c>
      <c r="O14">
        <v>14.077518</v>
      </c>
      <c r="P14">
        <v>2187</v>
      </c>
      <c r="Q14">
        <v>0</v>
      </c>
      <c r="R14">
        <v>0</v>
      </c>
      <c r="S14">
        <v>0</v>
      </c>
    </row>
    <row r="15" spans="1:27" x14ac:dyDescent="0.25">
      <c r="A15" t="s">
        <v>32</v>
      </c>
      <c r="B15">
        <v>8465.6</v>
      </c>
      <c r="C15">
        <v>55729.7</v>
      </c>
      <c r="D15">
        <v>138143</v>
      </c>
      <c r="E15">
        <v>3</v>
      </c>
      <c r="F15">
        <v>10</v>
      </c>
      <c r="G15">
        <v>15</v>
      </c>
      <c r="H15">
        <v>1</v>
      </c>
      <c r="I15">
        <v>12</v>
      </c>
      <c r="J15">
        <v>10</v>
      </c>
      <c r="K15">
        <v>3</v>
      </c>
      <c r="L15">
        <v>8218.9626212604107</v>
      </c>
      <c r="M15">
        <v>82.612335999999999</v>
      </c>
      <c r="N15">
        <v>8017.6330290566802</v>
      </c>
      <c r="O15">
        <v>73.194023000000001</v>
      </c>
      <c r="P15">
        <v>4</v>
      </c>
      <c r="Q15">
        <v>0</v>
      </c>
      <c r="R15">
        <v>0</v>
      </c>
      <c r="S15">
        <v>-5.7953299844114903E-2</v>
      </c>
    </row>
    <row r="16" spans="1:27" x14ac:dyDescent="0.25">
      <c r="A16" t="s">
        <v>33</v>
      </c>
      <c r="B16">
        <v>8355.5</v>
      </c>
      <c r="C16">
        <v>48812.5</v>
      </c>
      <c r="D16">
        <v>138143</v>
      </c>
      <c r="E16">
        <v>3</v>
      </c>
      <c r="F16">
        <v>10</v>
      </c>
      <c r="G16">
        <v>15</v>
      </c>
      <c r="H16">
        <v>1</v>
      </c>
      <c r="I16">
        <v>12</v>
      </c>
      <c r="J16">
        <v>6</v>
      </c>
      <c r="K16">
        <v>2</v>
      </c>
      <c r="L16">
        <v>8643.3221529300499</v>
      </c>
      <c r="M16">
        <v>114.603544999999</v>
      </c>
      <c r="N16">
        <v>7018.5125357528796</v>
      </c>
      <c r="O16">
        <v>90.867236999999903</v>
      </c>
      <c r="P16">
        <v>1</v>
      </c>
      <c r="Q16">
        <v>0</v>
      </c>
      <c r="R16">
        <v>0</v>
      </c>
      <c r="S16">
        <v>-0.16878613482913901</v>
      </c>
    </row>
    <row r="17" spans="1:19" x14ac:dyDescent="0.25">
      <c r="A17" t="s">
        <v>34</v>
      </c>
      <c r="B17">
        <v>9241.6</v>
      </c>
      <c r="C17">
        <v>57439.8</v>
      </c>
      <c r="D17">
        <v>138143</v>
      </c>
      <c r="E17">
        <v>3</v>
      </c>
      <c r="F17">
        <v>10</v>
      </c>
      <c r="G17">
        <v>13</v>
      </c>
      <c r="H17">
        <v>1</v>
      </c>
      <c r="I17">
        <v>8</v>
      </c>
      <c r="J17">
        <v>6</v>
      </c>
      <c r="K17">
        <v>2</v>
      </c>
      <c r="L17">
        <v>4040.7451009360002</v>
      </c>
      <c r="M17">
        <v>53.137871999999902</v>
      </c>
      <c r="N17">
        <v>4040.7451009360002</v>
      </c>
      <c r="O17">
        <v>45.096829999999997</v>
      </c>
      <c r="P17">
        <v>1</v>
      </c>
      <c r="Q17">
        <v>0</v>
      </c>
      <c r="R17">
        <v>0</v>
      </c>
      <c r="S17">
        <v>-4.9182248318926702E-2</v>
      </c>
    </row>
    <row r="18" spans="1:19" x14ac:dyDescent="0.25">
      <c r="A18" t="s">
        <v>35</v>
      </c>
      <c r="B18">
        <v>7226</v>
      </c>
      <c r="C18">
        <v>78095.100000000006</v>
      </c>
      <c r="D18">
        <v>138143</v>
      </c>
      <c r="E18">
        <v>3</v>
      </c>
      <c r="F18">
        <v>10</v>
      </c>
      <c r="G18">
        <v>13</v>
      </c>
      <c r="H18">
        <v>1</v>
      </c>
      <c r="I18">
        <v>8</v>
      </c>
      <c r="J18">
        <v>6</v>
      </c>
      <c r="K18">
        <v>6</v>
      </c>
      <c r="L18">
        <v>2512.7925186285902</v>
      </c>
      <c r="M18">
        <v>51.935546000000002</v>
      </c>
      <c r="N18">
        <v>2640.2471006350002</v>
      </c>
      <c r="O18">
        <v>42.112018999999997</v>
      </c>
      <c r="P18">
        <v>1</v>
      </c>
      <c r="Q18">
        <v>0</v>
      </c>
      <c r="R18">
        <v>0</v>
      </c>
      <c r="S18">
        <v>-5.09252745306095E-2</v>
      </c>
    </row>
    <row r="19" spans="1:19" x14ac:dyDescent="0.25">
      <c r="A19" t="s">
        <v>36</v>
      </c>
      <c r="B19">
        <v>6392.5</v>
      </c>
      <c r="C19">
        <v>53927.8</v>
      </c>
      <c r="D19">
        <v>138143</v>
      </c>
      <c r="E19">
        <v>3</v>
      </c>
      <c r="F19">
        <v>10</v>
      </c>
      <c r="G19">
        <v>13</v>
      </c>
      <c r="H19">
        <v>0</v>
      </c>
      <c r="I19">
        <v>8</v>
      </c>
      <c r="J19">
        <v>6</v>
      </c>
      <c r="K19">
        <v>2</v>
      </c>
      <c r="L19">
        <v>3587.8620796581499</v>
      </c>
      <c r="M19">
        <v>51.458593999999998</v>
      </c>
      <c r="N19">
        <v>3587.8620796581499</v>
      </c>
      <c r="O19">
        <v>39.787554</v>
      </c>
      <c r="P19">
        <v>1</v>
      </c>
      <c r="Q19">
        <v>0</v>
      </c>
      <c r="R19">
        <v>0</v>
      </c>
      <c r="S19">
        <v>-6.2977378399238906E-2</v>
      </c>
    </row>
    <row r="20" spans="1:19" x14ac:dyDescent="0.25">
      <c r="A20" t="s">
        <v>37</v>
      </c>
      <c r="B20">
        <v>7960.3</v>
      </c>
      <c r="C20">
        <v>58317.3</v>
      </c>
      <c r="D20">
        <v>138143</v>
      </c>
      <c r="E20">
        <v>3</v>
      </c>
      <c r="F20">
        <v>10</v>
      </c>
      <c r="G20">
        <v>13</v>
      </c>
      <c r="H20">
        <v>1</v>
      </c>
      <c r="I20">
        <v>8</v>
      </c>
      <c r="J20">
        <v>6</v>
      </c>
      <c r="K20">
        <v>2</v>
      </c>
      <c r="L20">
        <v>1991.28347347922</v>
      </c>
      <c r="M20">
        <v>49.890115000000002</v>
      </c>
      <c r="N20">
        <v>1991.28347347922</v>
      </c>
      <c r="O20">
        <v>41.088901</v>
      </c>
      <c r="P20">
        <v>1</v>
      </c>
      <c r="Q20">
        <v>0</v>
      </c>
      <c r="R20">
        <v>0</v>
      </c>
      <c r="S20">
        <v>-4.5668892885876299E-2</v>
      </c>
    </row>
    <row r="21" spans="1:19" x14ac:dyDescent="0.25">
      <c r="A21" t="s">
        <v>38</v>
      </c>
      <c r="B21">
        <v>8382.7999999999993</v>
      </c>
      <c r="C21">
        <v>59609.1</v>
      </c>
      <c r="D21">
        <v>138143</v>
      </c>
      <c r="E21">
        <v>3</v>
      </c>
      <c r="F21">
        <v>10</v>
      </c>
      <c r="G21">
        <v>13</v>
      </c>
      <c r="H21">
        <v>1</v>
      </c>
      <c r="I21">
        <v>8</v>
      </c>
      <c r="J21">
        <v>14</v>
      </c>
      <c r="K21">
        <v>4</v>
      </c>
      <c r="L21">
        <v>5779.8238279950701</v>
      </c>
      <c r="M21">
        <v>52.007044</v>
      </c>
      <c r="N21">
        <v>6355.3144112924801</v>
      </c>
      <c r="O21">
        <v>48.080286999999998</v>
      </c>
      <c r="P21">
        <v>16</v>
      </c>
      <c r="Q21">
        <v>0</v>
      </c>
      <c r="R21">
        <v>0</v>
      </c>
      <c r="S21">
        <v>1.71775561903464E-3</v>
      </c>
    </row>
    <row r="22" spans="1:19" x14ac:dyDescent="0.25">
      <c r="A22" t="s">
        <v>39</v>
      </c>
      <c r="B22">
        <v>7517.6</v>
      </c>
      <c r="C22">
        <v>450.8</v>
      </c>
      <c r="D22">
        <v>138143</v>
      </c>
      <c r="E22">
        <v>3</v>
      </c>
      <c r="F22">
        <v>10</v>
      </c>
      <c r="G22">
        <v>14</v>
      </c>
      <c r="H22">
        <v>1</v>
      </c>
      <c r="I22">
        <v>12</v>
      </c>
      <c r="J22">
        <v>16</v>
      </c>
      <c r="K22">
        <v>1</v>
      </c>
      <c r="L22">
        <v>3542.20113302972</v>
      </c>
      <c r="M22">
        <v>62.046998000000002</v>
      </c>
      <c r="N22">
        <v>2764.64009785083</v>
      </c>
      <c r="O22">
        <v>52.492875999999903</v>
      </c>
      <c r="P22">
        <v>243</v>
      </c>
      <c r="Q22">
        <v>0</v>
      </c>
      <c r="R22">
        <v>0</v>
      </c>
      <c r="S22">
        <v>-8.1422734653116793E-2</v>
      </c>
    </row>
    <row r="23" spans="1:19" x14ac:dyDescent="0.25">
      <c r="A23" t="s">
        <v>40</v>
      </c>
      <c r="B23">
        <v>8182.2</v>
      </c>
      <c r="C23">
        <v>57986.2</v>
      </c>
      <c r="D23">
        <v>138143</v>
      </c>
      <c r="E23">
        <v>3</v>
      </c>
      <c r="F23">
        <v>10</v>
      </c>
      <c r="G23">
        <v>13</v>
      </c>
      <c r="H23">
        <v>1</v>
      </c>
      <c r="I23">
        <v>8</v>
      </c>
      <c r="J23">
        <v>6</v>
      </c>
      <c r="K23">
        <v>2</v>
      </c>
      <c r="L23">
        <v>6411.0652312663997</v>
      </c>
      <c r="M23">
        <v>51.212243999999998</v>
      </c>
      <c r="N23">
        <v>5609.3694044990798</v>
      </c>
      <c r="O23">
        <v>41.588569999999997</v>
      </c>
      <c r="P23">
        <v>1</v>
      </c>
      <c r="Q23">
        <v>0</v>
      </c>
      <c r="R23">
        <v>0</v>
      </c>
      <c r="S23">
        <v>-7.9931562768830705E-2</v>
      </c>
    </row>
    <row r="24" spans="1:19" x14ac:dyDescent="0.25">
      <c r="A24" t="s">
        <v>41</v>
      </c>
      <c r="B24">
        <v>8407.7000000000007</v>
      </c>
      <c r="C24">
        <v>37129</v>
      </c>
      <c r="D24">
        <v>138143</v>
      </c>
      <c r="E24">
        <v>3</v>
      </c>
      <c r="F24">
        <v>10</v>
      </c>
      <c r="G24">
        <v>13</v>
      </c>
      <c r="H24">
        <v>1</v>
      </c>
      <c r="I24">
        <v>8</v>
      </c>
      <c r="J24">
        <v>6</v>
      </c>
      <c r="K24">
        <v>1</v>
      </c>
      <c r="L24">
        <v>2283.4715305336099</v>
      </c>
      <c r="M24">
        <v>49.272967999999999</v>
      </c>
      <c r="N24">
        <v>1862.22249963382</v>
      </c>
      <c r="O24">
        <v>38.311780999999897</v>
      </c>
      <c r="P24">
        <v>1</v>
      </c>
      <c r="Q24">
        <v>0</v>
      </c>
      <c r="R24">
        <v>0</v>
      </c>
      <c r="S24">
        <v>-7.5778432095189294E-2</v>
      </c>
    </row>
    <row r="25" spans="1:19" x14ac:dyDescent="0.25">
      <c r="A25" t="s">
        <v>42</v>
      </c>
      <c r="B25">
        <v>7521.1</v>
      </c>
      <c r="C25">
        <v>56721.8</v>
      </c>
      <c r="D25">
        <v>138143</v>
      </c>
      <c r="E25">
        <v>3</v>
      </c>
      <c r="F25">
        <v>10</v>
      </c>
      <c r="G25">
        <v>13</v>
      </c>
      <c r="H25">
        <v>1</v>
      </c>
      <c r="I25">
        <v>8</v>
      </c>
      <c r="J25">
        <v>6</v>
      </c>
      <c r="K25">
        <v>2</v>
      </c>
      <c r="L25">
        <v>4783.5999003730503</v>
      </c>
      <c r="M25">
        <v>52.557466999999903</v>
      </c>
      <c r="N25">
        <v>4783.5999003730503</v>
      </c>
      <c r="O25">
        <v>40.574512999999897</v>
      </c>
      <c r="P25">
        <v>1</v>
      </c>
      <c r="Q25">
        <v>0</v>
      </c>
      <c r="R25">
        <v>0</v>
      </c>
      <c r="S25">
        <v>-6.9179200443903105E-2</v>
      </c>
    </row>
    <row r="26" spans="1:19" x14ac:dyDescent="0.25">
      <c r="A26" t="s">
        <v>43</v>
      </c>
      <c r="B26">
        <v>6914.7</v>
      </c>
      <c r="C26">
        <v>24580.799999999999</v>
      </c>
      <c r="D26">
        <v>138143</v>
      </c>
      <c r="E26">
        <v>3</v>
      </c>
      <c r="F26">
        <v>10</v>
      </c>
      <c r="G26">
        <v>14</v>
      </c>
      <c r="H26">
        <v>1</v>
      </c>
      <c r="I26">
        <v>8</v>
      </c>
      <c r="J26">
        <v>12</v>
      </c>
      <c r="K26">
        <v>2</v>
      </c>
      <c r="L26">
        <v>2015.0789563830201</v>
      </c>
      <c r="M26">
        <v>46.817751999999999</v>
      </c>
      <c r="N26">
        <v>2015.0789563830201</v>
      </c>
      <c r="O26">
        <v>42.590666999999897</v>
      </c>
      <c r="P26">
        <v>8</v>
      </c>
      <c r="Q26">
        <v>0</v>
      </c>
      <c r="R26">
        <v>0</v>
      </c>
      <c r="S26">
        <v>-2.28849227648305E-2</v>
      </c>
    </row>
    <row r="27" spans="1:19" x14ac:dyDescent="0.25">
      <c r="A27" t="s">
        <v>44</v>
      </c>
      <c r="B27">
        <v>7783.4</v>
      </c>
      <c r="C27">
        <v>17765.099999999999</v>
      </c>
      <c r="D27">
        <v>138143</v>
      </c>
      <c r="E27">
        <v>3</v>
      </c>
      <c r="F27">
        <v>10</v>
      </c>
      <c r="G27">
        <v>14</v>
      </c>
      <c r="H27">
        <v>1</v>
      </c>
      <c r="I27">
        <v>12</v>
      </c>
      <c r="J27">
        <v>10</v>
      </c>
      <c r="K27">
        <v>1</v>
      </c>
      <c r="L27">
        <v>3432.86829462575</v>
      </c>
      <c r="M27">
        <v>60.599151999999997</v>
      </c>
      <c r="N27">
        <v>2544.1291165858402</v>
      </c>
      <c r="O27">
        <v>50.578141000000002</v>
      </c>
      <c r="P27">
        <v>6</v>
      </c>
      <c r="Q27">
        <v>0</v>
      </c>
      <c r="R27">
        <v>0</v>
      </c>
      <c r="S27">
        <v>-9.0100842728086106E-2</v>
      </c>
    </row>
    <row r="28" spans="1:19" x14ac:dyDescent="0.25">
      <c r="A28" t="s">
        <v>45</v>
      </c>
      <c r="B28">
        <v>7323.1</v>
      </c>
      <c r="C28">
        <v>1613.4</v>
      </c>
      <c r="D28">
        <v>138143</v>
      </c>
      <c r="E28">
        <v>3</v>
      </c>
      <c r="F28">
        <v>10</v>
      </c>
      <c r="G28">
        <v>14</v>
      </c>
      <c r="H28">
        <v>1</v>
      </c>
      <c r="I28">
        <v>12</v>
      </c>
      <c r="J28">
        <v>18</v>
      </c>
      <c r="K28">
        <v>1</v>
      </c>
      <c r="L28">
        <v>305.91278962449599</v>
      </c>
      <c r="M28">
        <v>12.936418</v>
      </c>
      <c r="N28">
        <v>305.91278962449599</v>
      </c>
      <c r="O28">
        <v>0.62518099999999999</v>
      </c>
      <c r="P28">
        <v>81</v>
      </c>
      <c r="Q28">
        <v>0</v>
      </c>
      <c r="R28">
        <v>0</v>
      </c>
      <c r="S28">
        <v>-7.8825143426697594E-2</v>
      </c>
    </row>
    <row r="29" spans="1:19" x14ac:dyDescent="0.25">
      <c r="A29" t="s">
        <v>46</v>
      </c>
      <c r="B29">
        <v>7692.7</v>
      </c>
      <c r="C29">
        <v>796.7</v>
      </c>
      <c r="D29">
        <v>138143</v>
      </c>
      <c r="E29">
        <v>3</v>
      </c>
      <c r="F29">
        <v>10</v>
      </c>
      <c r="G29">
        <v>15</v>
      </c>
      <c r="H29">
        <v>1</v>
      </c>
      <c r="I29">
        <v>12</v>
      </c>
      <c r="J29">
        <v>18</v>
      </c>
      <c r="K29">
        <v>2</v>
      </c>
      <c r="L29">
        <v>5628.0667684740001</v>
      </c>
      <c r="M29">
        <v>53.601762999999998</v>
      </c>
      <c r="N29">
        <v>4934.1820537547901</v>
      </c>
      <c r="O29">
        <v>42.725321999999998</v>
      </c>
      <c r="P29">
        <v>243</v>
      </c>
      <c r="Q29">
        <v>0</v>
      </c>
      <c r="R29">
        <v>0</v>
      </c>
      <c r="S29">
        <v>-9.2269457493604295E-2</v>
      </c>
    </row>
    <row r="30" spans="1:19" x14ac:dyDescent="0.25">
      <c r="A30" t="s">
        <v>47</v>
      </c>
      <c r="B30">
        <v>8811.6</v>
      </c>
      <c r="C30">
        <v>81968.3</v>
      </c>
      <c r="D30">
        <v>138143</v>
      </c>
      <c r="E30">
        <v>3</v>
      </c>
      <c r="F30">
        <v>10</v>
      </c>
      <c r="G30">
        <v>14</v>
      </c>
      <c r="H30">
        <v>1</v>
      </c>
      <c r="I30">
        <v>12</v>
      </c>
      <c r="J30">
        <v>14</v>
      </c>
      <c r="K30">
        <v>3</v>
      </c>
      <c r="L30">
        <v>7702.3579735064404</v>
      </c>
      <c r="M30">
        <v>84.384523000000002</v>
      </c>
      <c r="N30">
        <v>8149.5489321579398</v>
      </c>
      <c r="O30">
        <v>69.441888000000006</v>
      </c>
      <c r="P30">
        <v>12</v>
      </c>
      <c r="Q30">
        <v>0</v>
      </c>
      <c r="R30">
        <v>0</v>
      </c>
      <c r="S30">
        <v>-6.6652377949320205E-2</v>
      </c>
    </row>
    <row r="31" spans="1:19" x14ac:dyDescent="0.25">
      <c r="A31" t="s">
        <v>48</v>
      </c>
      <c r="B31">
        <v>13554.9</v>
      </c>
      <c r="C31">
        <v>9272.9</v>
      </c>
      <c r="D31">
        <v>138143</v>
      </c>
      <c r="E31">
        <v>3</v>
      </c>
      <c r="F31">
        <v>10</v>
      </c>
      <c r="G31">
        <v>14</v>
      </c>
      <c r="H31">
        <v>1</v>
      </c>
      <c r="I31">
        <v>12</v>
      </c>
      <c r="J31">
        <v>18</v>
      </c>
      <c r="K31">
        <v>1</v>
      </c>
      <c r="L31">
        <v>2690.2793283926198</v>
      </c>
      <c r="M31">
        <v>59.718421999999997</v>
      </c>
      <c r="N31">
        <v>2690.2793283926198</v>
      </c>
      <c r="O31">
        <v>54.758572999999998</v>
      </c>
      <c r="P31">
        <v>8</v>
      </c>
      <c r="Q31">
        <v>0</v>
      </c>
      <c r="R31">
        <v>0</v>
      </c>
      <c r="S31">
        <v>-2.88920111722051E-2</v>
      </c>
    </row>
  </sheetData>
  <autoFilter ref="A1:A66" xr:uid="{461D946D-782F-444D-89AE-925D06D0146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P3_10_summary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Cardoso</cp:lastModifiedBy>
  <dcterms:created xsi:type="dcterms:W3CDTF">2026-09-14T12:31:57Z</dcterms:created>
  <dcterms:modified xsi:type="dcterms:W3CDTF">2026-09-14T14:36:46Z</dcterms:modified>
</cp:coreProperties>
</file>