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enas Normais\cardosop\BPMN_Risk_Artigo\results\"/>
    </mc:Choice>
  </mc:AlternateContent>
  <xr:revisionPtr revIDLastSave="0" documentId="8_{A7C25161-EA57-4861-998D-4FB39B2F6B6C}" xr6:coauthVersionLast="47" xr6:coauthVersionMax="47" xr10:uidLastSave="{00000000-0000-0000-0000-000000000000}"/>
  <bookViews>
    <workbookView xWindow="-120" yWindow="-120" windowWidth="29040" windowHeight="15840" xr2:uid="{A358529B-181D-4F54-93B5-9C4314DEE315}"/>
  </bookViews>
  <sheets>
    <sheet name="P3_20_2000_summary" sheetId="1" r:id="rId1"/>
  </sheets>
  <calcPr calcId="0"/>
</workbook>
</file>

<file path=xl/calcChain.xml><?xml version="1.0" encoding="utf-8"?>
<calcChain xmlns="http://schemas.openxmlformats.org/spreadsheetml/2006/main">
  <c r="Z2" i="1" l="1"/>
  <c r="Y2" i="1"/>
  <c r="X2" i="1"/>
  <c r="W2" i="1"/>
  <c r="V2" i="1"/>
</calcChain>
</file>

<file path=xl/sharedStrings.xml><?xml version="1.0" encoding="utf-8"?>
<sst xmlns="http://schemas.openxmlformats.org/spreadsheetml/2006/main" count="86" uniqueCount="55">
  <si>
    <t>Name</t>
  </si>
  <si>
    <t>ExecutTime</t>
  </si>
  <si>
    <t>StabIt</t>
  </si>
  <si>
    <t>TotalIt</t>
  </si>
  <si>
    <t>#Participants</t>
  </si>
  <si>
    <t>#MutNodes</t>
  </si>
  <si>
    <t>#Nodes</t>
  </si>
  <si>
    <t>#Splits</t>
  </si>
  <si>
    <t>Init#Comms</t>
  </si>
  <si>
    <t>Optimal#Comms</t>
  </si>
  <si>
    <t>#OptimalSols</t>
  </si>
  <si>
    <t>InitRisk</t>
  </si>
  <si>
    <t>InitCost</t>
  </si>
  <si>
    <t>OptimalRisk</t>
  </si>
  <si>
    <t>OptimalCost</t>
  </si>
  <si>
    <t>#Configs</t>
  </si>
  <si>
    <t>RiskDist</t>
  </si>
  <si>
    <t>CostDist</t>
  </si>
  <si>
    <t>MonetaryTradeoff</t>
  </si>
  <si>
    <t>P3_20_1</t>
  </si>
  <si>
    <t>P3_20_10</t>
  </si>
  <si>
    <t>P3_20_11</t>
  </si>
  <si>
    <t>P3_20_12</t>
  </si>
  <si>
    <t>P3_20_13</t>
  </si>
  <si>
    <t>P3_20_14</t>
  </si>
  <si>
    <t>P3_20_15</t>
  </si>
  <si>
    <t>P3_20_16</t>
  </si>
  <si>
    <t>P3_20_17</t>
  </si>
  <si>
    <t>P3_20_18</t>
  </si>
  <si>
    <t>P3_20_19</t>
  </si>
  <si>
    <t>P3_20_2</t>
  </si>
  <si>
    <t>P3_20_20</t>
  </si>
  <si>
    <t>P3_20_21</t>
  </si>
  <si>
    <t>P3_20_22</t>
  </si>
  <si>
    <t>P3_20_23</t>
  </si>
  <si>
    <t>P3_20_24</t>
  </si>
  <si>
    <t>P3_20_25</t>
  </si>
  <si>
    <t>P3_20_26</t>
  </si>
  <si>
    <t>P3_20_27</t>
  </si>
  <si>
    <t>P3_20_28</t>
  </si>
  <si>
    <t>P3_20_29</t>
  </si>
  <si>
    <t>P3_20_3</t>
  </si>
  <si>
    <t>P3_20_30</t>
  </si>
  <si>
    <t>P3_20_4</t>
  </si>
  <si>
    <t>P3_20_5</t>
  </si>
  <si>
    <t>P3_20_6</t>
  </si>
  <si>
    <t>P3_20_7</t>
  </si>
  <si>
    <t>P3_20_8</t>
  </si>
  <si>
    <t>P3_20_9</t>
  </si>
  <si>
    <t>Tempo médio</t>
  </si>
  <si>
    <t>Desvio padrão</t>
  </si>
  <si>
    <t>Média estabilizar</t>
  </si>
  <si>
    <t>2 sols</t>
  </si>
  <si>
    <t>3+sols</t>
  </si>
  <si>
    <t>Sol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</si>
</sst>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Cor1" xfId="19" builtinId="30" customBuiltin="1"/>
    <cellStyle name="20% - Cor2" xfId="23" builtinId="34" customBuiltin="1"/>
    <cellStyle name="20% - Cor3" xfId="27" builtinId="38" customBuiltin="1"/>
    <cellStyle name="20% - Cor4" xfId="31" builtinId="42" customBuiltin="1"/>
    <cellStyle name="20% - Cor5" xfId="35" builtinId="46" customBuiltin="1"/>
    <cellStyle name="20% - Cor6" xfId="39" builtinId="50" customBuiltin="1"/>
    <cellStyle name="40% - Cor1" xfId="20" builtinId="31" customBuiltin="1"/>
    <cellStyle name="40% - Cor2" xfId="24" builtinId="35" customBuiltin="1"/>
    <cellStyle name="40% - Cor3" xfId="28" builtinId="39" customBuiltin="1"/>
    <cellStyle name="40% - Cor4" xfId="32" builtinId="43" customBuiltin="1"/>
    <cellStyle name="40% - Cor5" xfId="36" builtinId="47" customBuiltin="1"/>
    <cellStyle name="40% - Cor6" xfId="40" builtinId="51" customBuiltin="1"/>
    <cellStyle name="60% - Cor1" xfId="21" builtinId="32" customBuiltin="1"/>
    <cellStyle name="60% - Cor2" xfId="25" builtinId="36" customBuiltin="1"/>
    <cellStyle name="60% - Cor3" xfId="29" builtinId="40" customBuiltin="1"/>
    <cellStyle name="60% - Cor4" xfId="33" builtinId="44" customBuiltin="1"/>
    <cellStyle name="60% - Cor5" xfId="37" builtinId="48" customBuiltin="1"/>
    <cellStyle name="60% - Cor6" xfId="41" builtinId="52" customBuiltin="1"/>
    <cellStyle name="Cabeçalho 1" xfId="2" builtinId="16" customBuiltin="1"/>
    <cellStyle name="Cabeçalho 2" xfId="3" builtinId="17" customBuiltin="1"/>
    <cellStyle name="Cabeçalho 3" xfId="4" builtinId="18" customBuiltin="1"/>
    <cellStyle name="Cabeçalho 4" xfId="5" builtinId="19" customBuiltin="1"/>
    <cellStyle name="Cálculo" xfId="11" builtinId="22" customBuiltin="1"/>
    <cellStyle name="Célula Ligada" xfId="12" builtinId="24" customBuiltin="1"/>
    <cellStyle name="Cor1" xfId="18" builtinId="29" customBuiltin="1"/>
    <cellStyle name="Cor2" xfId="22" builtinId="33" customBuiltin="1"/>
    <cellStyle name="Cor3" xfId="26" builtinId="37" customBuiltin="1"/>
    <cellStyle name="Cor4" xfId="30" builtinId="41" customBuiltin="1"/>
    <cellStyle name="Cor5" xfId="34" builtinId="45" customBuiltin="1"/>
    <cellStyle name="Cor6" xfId="38" builtinId="49" customBuiltin="1"/>
    <cellStyle name="Correto" xfId="6" builtinId="26" customBuiltin="1"/>
    <cellStyle name="Entrada" xfId="9" builtinId="20" customBuiltin="1"/>
    <cellStyle name="Incorreto" xfId="7" builtinId="27" customBuiltin="1"/>
    <cellStyle name="Neutro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otal" xfId="17" builtinId="25" customBuiltin="1"/>
    <cellStyle name="Verificar Célula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2DB19-9282-4A8D-ADB3-20C0194816D2}">
  <dimension ref="A1:AA62"/>
  <sheetViews>
    <sheetView tabSelected="1" workbookViewId="0">
      <selection activeCell="Z3" sqref="Z3"/>
    </sheetView>
  </sheetViews>
  <sheetFormatPr defaultRowHeight="15" x14ac:dyDescent="0.25"/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</row>
    <row r="2" spans="1:27" x14ac:dyDescent="0.25">
      <c r="A2" t="s">
        <v>19</v>
      </c>
      <c r="B2">
        <v>13454.6</v>
      </c>
      <c r="C2">
        <v>114191.6</v>
      </c>
      <c r="D2">
        <v>138143</v>
      </c>
      <c r="E2">
        <v>3</v>
      </c>
      <c r="F2">
        <v>20</v>
      </c>
      <c r="G2">
        <v>26</v>
      </c>
      <c r="H2">
        <v>2</v>
      </c>
      <c r="I2">
        <v>16</v>
      </c>
      <c r="J2">
        <v>24</v>
      </c>
      <c r="K2">
        <v>4</v>
      </c>
      <c r="L2">
        <v>3362.5590967416301</v>
      </c>
      <c r="M2">
        <v>63.846218999999998</v>
      </c>
      <c r="N2">
        <v>4523.5463510443697</v>
      </c>
      <c r="O2">
        <v>45.674500999999999</v>
      </c>
      <c r="P2">
        <v>2</v>
      </c>
      <c r="Q2">
        <v>0</v>
      </c>
      <c r="R2">
        <v>0</v>
      </c>
      <c r="S2">
        <v>-8.9915930435673693E-3</v>
      </c>
      <c r="V2">
        <f>SUM(B2,B6,B8,B9,B10,B11,B13,B17,B22,B24,B25,B26,B28,B30,B32,B35,B36,B37,B38,B39,B42,B44,B45,B51,B54,B56,B58,B59,B61,B62)/30</f>
        <v>16061.656666666669</v>
      </c>
      <c r="W2">
        <f>_xlfn.STDEV.P(B2,B6,B8,B9,B10,B11,B13,B17,B22,B24,B25,B26,B28,B30,B32,B35,B36,B37,B38,B39,B42,B44,B45,B51,B54,B56,B58,B59,B61,B62)</f>
        <v>3359.3999091785349</v>
      </c>
      <c r="X2">
        <f>SUM(C2,C6,C8,C9,C10,C11,C13,C17,C22,C24,C25,C26,C28,C30,C32,C35,C36,C37,C38,C39,C42,C44,C45,C51,C54,C56,C58,C59,C61,C62)/30</f>
        <v>63077.846666666657</v>
      </c>
      <c r="Y2">
        <f>10/30</f>
        <v>0.33333333333333331</v>
      </c>
      <c r="Z2">
        <f>7/30</f>
        <v>0.23333333333333334</v>
      </c>
      <c r="AA2">
        <v>6</v>
      </c>
    </row>
    <row r="3" spans="1:27" x14ac:dyDescent="0.25">
      <c r="A3" t="s">
        <v>19</v>
      </c>
      <c r="B3">
        <v>13454.6</v>
      </c>
      <c r="C3">
        <v>114191.6</v>
      </c>
      <c r="D3">
        <v>138143</v>
      </c>
      <c r="E3">
        <v>3</v>
      </c>
      <c r="F3">
        <v>20</v>
      </c>
      <c r="G3">
        <v>26</v>
      </c>
      <c r="H3">
        <v>2</v>
      </c>
      <c r="I3">
        <v>16</v>
      </c>
      <c r="J3">
        <v>26</v>
      </c>
      <c r="K3">
        <v>4</v>
      </c>
      <c r="L3">
        <v>3362.5590967416301</v>
      </c>
      <c r="M3">
        <v>63.846218999999998</v>
      </c>
      <c r="N3">
        <v>2745.08017143388</v>
      </c>
      <c r="O3">
        <v>50.403011999999997</v>
      </c>
      <c r="P3">
        <v>1</v>
      </c>
      <c r="Q3">
        <v>6.5664825844281002E-2</v>
      </c>
      <c r="R3">
        <v>1.34940451104379E-2</v>
      </c>
      <c r="S3">
        <v>-7.4656418887848394E-2</v>
      </c>
    </row>
    <row r="4" spans="1:27" x14ac:dyDescent="0.25">
      <c r="A4" t="s">
        <v>19</v>
      </c>
      <c r="B4">
        <v>13454.6</v>
      </c>
      <c r="C4">
        <v>114191.6</v>
      </c>
      <c r="D4">
        <v>138143</v>
      </c>
      <c r="E4">
        <v>3</v>
      </c>
      <c r="F4">
        <v>20</v>
      </c>
      <c r="G4">
        <v>26</v>
      </c>
      <c r="H4">
        <v>2</v>
      </c>
      <c r="I4">
        <v>16</v>
      </c>
      <c r="J4">
        <v>24</v>
      </c>
      <c r="K4">
        <v>4</v>
      </c>
      <c r="L4">
        <v>3362.5590967416301</v>
      </c>
      <c r="M4">
        <v>63.846218999999998</v>
      </c>
      <c r="N4">
        <v>2226.46338073488</v>
      </c>
      <c r="O4">
        <v>50.403011999999997</v>
      </c>
      <c r="P4">
        <v>6</v>
      </c>
      <c r="Q4">
        <v>1.9148455917575E-2</v>
      </c>
      <c r="R4" s="1">
        <v>2.7755575615628901E-17</v>
      </c>
      <c r="S4">
        <v>-8.03108296949855E-2</v>
      </c>
    </row>
    <row r="5" spans="1:27" x14ac:dyDescent="0.25">
      <c r="A5" t="s">
        <v>19</v>
      </c>
      <c r="B5">
        <v>13454.6</v>
      </c>
      <c r="C5">
        <v>114191.6</v>
      </c>
      <c r="D5">
        <v>138143</v>
      </c>
      <c r="E5">
        <v>3</v>
      </c>
      <c r="F5">
        <v>20</v>
      </c>
      <c r="G5">
        <v>26</v>
      </c>
      <c r="H5">
        <v>2</v>
      </c>
      <c r="I5">
        <v>16</v>
      </c>
      <c r="J5">
        <v>16</v>
      </c>
      <c r="K5">
        <v>4</v>
      </c>
      <c r="L5">
        <v>3362.5590967416301</v>
      </c>
      <c r="M5">
        <v>63.846218999999998</v>
      </c>
      <c r="N5">
        <v>2135.3986660034002</v>
      </c>
      <c r="O5">
        <v>67.538028999999995</v>
      </c>
      <c r="P5">
        <v>2</v>
      </c>
      <c r="Q5">
        <v>3.3623066336363602E-3</v>
      </c>
      <c r="R5">
        <v>4.8899260753780698E-2</v>
      </c>
      <c r="S5">
        <v>-8.3673136328621903E-2</v>
      </c>
    </row>
    <row r="6" spans="1:27" x14ac:dyDescent="0.25">
      <c r="A6" t="s">
        <v>20</v>
      </c>
      <c r="B6">
        <v>16640.8</v>
      </c>
      <c r="C6">
        <v>102237.8</v>
      </c>
      <c r="D6">
        <v>138143</v>
      </c>
      <c r="E6">
        <v>3</v>
      </c>
      <c r="F6">
        <v>20</v>
      </c>
      <c r="G6">
        <v>33</v>
      </c>
      <c r="H6">
        <v>1</v>
      </c>
      <c r="I6">
        <v>32</v>
      </c>
      <c r="J6">
        <v>38</v>
      </c>
      <c r="K6">
        <v>2</v>
      </c>
      <c r="L6">
        <v>7336.7135530156402</v>
      </c>
      <c r="M6">
        <v>187.559076</v>
      </c>
      <c r="N6">
        <v>7336.7135530156402</v>
      </c>
      <c r="O6">
        <v>169.511674</v>
      </c>
      <c r="P6">
        <v>1</v>
      </c>
      <c r="Q6">
        <v>0</v>
      </c>
      <c r="R6">
        <v>0</v>
      </c>
      <c r="S6">
        <v>-4.1307608860296802E-2</v>
      </c>
    </row>
    <row r="7" spans="1:27" x14ac:dyDescent="0.25">
      <c r="A7" t="s">
        <v>20</v>
      </c>
      <c r="B7">
        <v>16640.8</v>
      </c>
      <c r="C7">
        <v>102237.8</v>
      </c>
      <c r="D7">
        <v>138143</v>
      </c>
      <c r="E7">
        <v>3</v>
      </c>
      <c r="F7">
        <v>20</v>
      </c>
      <c r="G7">
        <v>33</v>
      </c>
      <c r="H7">
        <v>1</v>
      </c>
      <c r="I7">
        <v>32</v>
      </c>
      <c r="J7">
        <v>36</v>
      </c>
      <c r="K7">
        <v>2</v>
      </c>
      <c r="L7">
        <v>7336.7135530156402</v>
      </c>
      <c r="M7">
        <v>187.559076</v>
      </c>
      <c r="N7">
        <v>5785.86381530364</v>
      </c>
      <c r="O7">
        <v>175.23187999999999</v>
      </c>
      <c r="P7">
        <v>7</v>
      </c>
      <c r="Q7">
        <v>5.5628496861498102E-2</v>
      </c>
      <c r="R7">
        <v>1.3092634166863499E-2</v>
      </c>
      <c r="S7">
        <v>-9.6936105721794993E-2</v>
      </c>
    </row>
    <row r="8" spans="1:27" x14ac:dyDescent="0.25">
      <c r="A8" t="s">
        <v>21</v>
      </c>
      <c r="B8">
        <v>16181.8</v>
      </c>
      <c r="C8">
        <v>88753.1</v>
      </c>
      <c r="D8">
        <v>138143</v>
      </c>
      <c r="E8">
        <v>3</v>
      </c>
      <c r="F8">
        <v>20</v>
      </c>
      <c r="G8">
        <v>31</v>
      </c>
      <c r="H8">
        <v>2</v>
      </c>
      <c r="I8">
        <v>16</v>
      </c>
      <c r="J8">
        <v>26</v>
      </c>
      <c r="K8">
        <v>1</v>
      </c>
      <c r="L8">
        <v>4022.7307468245599</v>
      </c>
      <c r="M8">
        <v>32.188504000000002</v>
      </c>
      <c r="N8">
        <v>3320.0932574032399</v>
      </c>
      <c r="O8">
        <v>15.861141</v>
      </c>
      <c r="P8">
        <v>3</v>
      </c>
      <c r="Q8">
        <v>0</v>
      </c>
      <c r="R8">
        <v>0</v>
      </c>
      <c r="S8">
        <v>-7.1491145077866095E-2</v>
      </c>
    </row>
    <row r="9" spans="1:27" x14ac:dyDescent="0.25">
      <c r="A9" t="s">
        <v>22</v>
      </c>
      <c r="B9">
        <v>14637.9</v>
      </c>
      <c r="C9">
        <v>1</v>
      </c>
      <c r="D9">
        <v>138143</v>
      </c>
      <c r="E9">
        <v>3</v>
      </c>
      <c r="F9">
        <v>20</v>
      </c>
      <c r="G9">
        <v>30</v>
      </c>
      <c r="H9">
        <v>1</v>
      </c>
      <c r="I9">
        <v>22</v>
      </c>
      <c r="J9">
        <v>22</v>
      </c>
      <c r="K9">
        <v>1</v>
      </c>
      <c r="L9">
        <v>3587.1935601564201</v>
      </c>
      <c r="M9">
        <v>153.752228</v>
      </c>
      <c r="N9">
        <v>3587.1935601564201</v>
      </c>
      <c r="O9">
        <v>153.752228</v>
      </c>
      <c r="P9">
        <v>1</v>
      </c>
      <c r="Q9">
        <v>0</v>
      </c>
      <c r="R9">
        <v>0</v>
      </c>
      <c r="S9">
        <v>0</v>
      </c>
    </row>
    <row r="10" spans="1:27" x14ac:dyDescent="0.25">
      <c r="A10" t="s">
        <v>23</v>
      </c>
      <c r="B10">
        <v>18960.7</v>
      </c>
      <c r="C10">
        <v>1</v>
      </c>
      <c r="D10">
        <v>138143</v>
      </c>
      <c r="E10">
        <v>3</v>
      </c>
      <c r="F10">
        <v>20</v>
      </c>
      <c r="G10">
        <v>28</v>
      </c>
      <c r="H10">
        <v>3</v>
      </c>
      <c r="I10">
        <v>24</v>
      </c>
      <c r="J10">
        <v>24</v>
      </c>
      <c r="K10">
        <v>1</v>
      </c>
      <c r="L10">
        <v>0</v>
      </c>
      <c r="M10">
        <v>0</v>
      </c>
      <c r="N10">
        <v>0</v>
      </c>
      <c r="O10">
        <v>0</v>
      </c>
      <c r="P10">
        <v>50923</v>
      </c>
      <c r="Q10">
        <v>0</v>
      </c>
      <c r="R10">
        <v>0</v>
      </c>
      <c r="S10">
        <v>0</v>
      </c>
    </row>
    <row r="11" spans="1:27" x14ac:dyDescent="0.25">
      <c r="A11" t="s">
        <v>24</v>
      </c>
      <c r="B11">
        <v>15911.4</v>
      </c>
      <c r="C11">
        <v>122382.9</v>
      </c>
      <c r="D11">
        <v>138143</v>
      </c>
      <c r="E11">
        <v>3</v>
      </c>
      <c r="F11">
        <v>20</v>
      </c>
      <c r="G11">
        <v>29</v>
      </c>
      <c r="H11">
        <v>1</v>
      </c>
      <c r="I11">
        <v>24</v>
      </c>
      <c r="J11">
        <v>16</v>
      </c>
      <c r="K11">
        <v>2</v>
      </c>
      <c r="L11">
        <v>10425.4965161489</v>
      </c>
      <c r="M11">
        <v>184.73197599999901</v>
      </c>
      <c r="N11">
        <v>9475.72420684188</v>
      </c>
      <c r="O11">
        <v>158.444175999999</v>
      </c>
      <c r="P11">
        <v>1</v>
      </c>
      <c r="Q11">
        <v>0</v>
      </c>
      <c r="R11">
        <v>0</v>
      </c>
      <c r="S11">
        <v>-0.106991899898309</v>
      </c>
    </row>
    <row r="12" spans="1:27" x14ac:dyDescent="0.25">
      <c r="A12" t="s">
        <v>24</v>
      </c>
      <c r="B12">
        <v>15911.4</v>
      </c>
      <c r="C12">
        <v>122382.9</v>
      </c>
      <c r="D12">
        <v>138143</v>
      </c>
      <c r="E12">
        <v>3</v>
      </c>
      <c r="F12">
        <v>20</v>
      </c>
      <c r="G12">
        <v>29</v>
      </c>
      <c r="H12">
        <v>1</v>
      </c>
      <c r="I12">
        <v>24</v>
      </c>
      <c r="J12">
        <v>20</v>
      </c>
      <c r="K12">
        <v>2</v>
      </c>
      <c r="L12">
        <v>10425.4965161489</v>
      </c>
      <c r="M12">
        <v>184.73197599999901</v>
      </c>
      <c r="N12">
        <v>9202.7014711532793</v>
      </c>
      <c r="O12">
        <v>211.53744499999999</v>
      </c>
      <c r="P12">
        <v>1</v>
      </c>
      <c r="Q12">
        <v>1.0637451225330601E-2</v>
      </c>
      <c r="R12">
        <v>0.14135237529625</v>
      </c>
      <c r="S12">
        <v>-0.11762935112363999</v>
      </c>
    </row>
    <row r="13" spans="1:27" x14ac:dyDescent="0.25">
      <c r="A13" t="s">
        <v>25</v>
      </c>
      <c r="B13">
        <v>12563.1</v>
      </c>
      <c r="C13">
        <v>96584.3</v>
      </c>
      <c r="D13">
        <v>138143</v>
      </c>
      <c r="E13">
        <v>3</v>
      </c>
      <c r="F13">
        <v>20</v>
      </c>
      <c r="G13">
        <v>25</v>
      </c>
      <c r="H13">
        <v>1</v>
      </c>
      <c r="I13">
        <v>12</v>
      </c>
      <c r="J13">
        <v>12</v>
      </c>
      <c r="K13">
        <v>4</v>
      </c>
      <c r="L13">
        <v>3310.5294323400899</v>
      </c>
      <c r="M13">
        <v>86.872310999999996</v>
      </c>
      <c r="N13">
        <v>3310.5294323400899</v>
      </c>
      <c r="O13">
        <v>86.872310999999996</v>
      </c>
      <c r="P13">
        <v>2</v>
      </c>
      <c r="Q13">
        <v>0</v>
      </c>
      <c r="R13">
        <v>0</v>
      </c>
      <c r="S13">
        <v>0</v>
      </c>
    </row>
    <row r="14" spans="1:27" x14ac:dyDescent="0.25">
      <c r="A14" t="s">
        <v>25</v>
      </c>
      <c r="B14">
        <v>12563.1</v>
      </c>
      <c r="C14">
        <v>96584.3</v>
      </c>
      <c r="D14">
        <v>138143</v>
      </c>
      <c r="E14">
        <v>3</v>
      </c>
      <c r="F14">
        <v>20</v>
      </c>
      <c r="G14">
        <v>25</v>
      </c>
      <c r="H14">
        <v>1</v>
      </c>
      <c r="I14">
        <v>12</v>
      </c>
      <c r="J14">
        <v>18</v>
      </c>
      <c r="K14">
        <v>4</v>
      </c>
      <c r="L14">
        <v>3310.5294323400899</v>
      </c>
      <c r="M14">
        <v>86.872310999999996</v>
      </c>
      <c r="N14">
        <v>3243.8468558249601</v>
      </c>
      <c r="O14">
        <v>91.262392000000006</v>
      </c>
      <c r="P14">
        <v>3</v>
      </c>
      <c r="Q14">
        <v>2.4159940747498199E-3</v>
      </c>
      <c r="R14">
        <v>1.336773863904E-2</v>
      </c>
      <c r="S14">
        <v>-2.4159940747498199E-3</v>
      </c>
    </row>
    <row r="15" spans="1:27" x14ac:dyDescent="0.25">
      <c r="A15" t="s">
        <v>25</v>
      </c>
      <c r="B15">
        <v>12563.1</v>
      </c>
      <c r="C15">
        <v>96584.3</v>
      </c>
      <c r="D15">
        <v>138143</v>
      </c>
      <c r="E15">
        <v>3</v>
      </c>
      <c r="F15">
        <v>20</v>
      </c>
      <c r="G15">
        <v>25</v>
      </c>
      <c r="H15">
        <v>1</v>
      </c>
      <c r="I15">
        <v>12</v>
      </c>
      <c r="J15">
        <v>20</v>
      </c>
      <c r="K15">
        <v>4</v>
      </c>
      <c r="L15">
        <v>3310.5294323400899</v>
      </c>
      <c r="M15">
        <v>86.872310999999996</v>
      </c>
      <c r="N15">
        <v>3078.8078039407701</v>
      </c>
      <c r="O15">
        <v>92.662103000000002</v>
      </c>
      <c r="P15">
        <v>1</v>
      </c>
      <c r="Q15">
        <v>5.9795735601796797E-3</v>
      </c>
      <c r="R15">
        <v>4.26210150067607E-3</v>
      </c>
      <c r="S15">
        <v>4.9721710041105496E-3</v>
      </c>
    </row>
    <row r="16" spans="1:27" x14ac:dyDescent="0.25">
      <c r="A16" t="s">
        <v>25</v>
      </c>
      <c r="B16">
        <v>12563.1</v>
      </c>
      <c r="C16">
        <v>96584.3</v>
      </c>
      <c r="D16">
        <v>138143</v>
      </c>
      <c r="E16">
        <v>3</v>
      </c>
      <c r="F16">
        <v>20</v>
      </c>
      <c r="G16">
        <v>25</v>
      </c>
      <c r="H16">
        <v>1</v>
      </c>
      <c r="I16">
        <v>12</v>
      </c>
      <c r="J16">
        <v>18</v>
      </c>
      <c r="K16">
        <v>4</v>
      </c>
      <c r="L16">
        <v>3310.5294323400899</v>
      </c>
      <c r="M16">
        <v>86.872310999999996</v>
      </c>
      <c r="N16">
        <v>3022.9400586085699</v>
      </c>
      <c r="O16">
        <v>118.943331</v>
      </c>
      <c r="P16">
        <v>1</v>
      </c>
      <c r="Q16">
        <v>2.0241590644236702E-3</v>
      </c>
      <c r="R16">
        <v>8.0025992007214206E-2</v>
      </c>
      <c r="S16">
        <v>7.2101134403629499E-3</v>
      </c>
    </row>
    <row r="17" spans="1:19" x14ac:dyDescent="0.25">
      <c r="A17" t="s">
        <v>26</v>
      </c>
      <c r="B17">
        <v>13850.5</v>
      </c>
      <c r="C17">
        <v>90630.9</v>
      </c>
      <c r="D17">
        <v>138143</v>
      </c>
      <c r="E17">
        <v>3</v>
      </c>
      <c r="F17">
        <v>20</v>
      </c>
      <c r="G17">
        <v>26</v>
      </c>
      <c r="H17">
        <v>1</v>
      </c>
      <c r="I17">
        <v>12</v>
      </c>
      <c r="J17">
        <v>12</v>
      </c>
      <c r="K17">
        <v>5</v>
      </c>
      <c r="L17">
        <v>7439.3432399870999</v>
      </c>
      <c r="M17">
        <v>85.351033999999999</v>
      </c>
      <c r="N17">
        <v>7439.3432399870999</v>
      </c>
      <c r="O17">
        <v>85.351033999999999</v>
      </c>
      <c r="P17">
        <v>1</v>
      </c>
      <c r="Q17">
        <v>0</v>
      </c>
      <c r="R17">
        <v>0</v>
      </c>
      <c r="S17">
        <v>0</v>
      </c>
    </row>
    <row r="18" spans="1:19" x14ac:dyDescent="0.25">
      <c r="A18" t="s">
        <v>26</v>
      </c>
      <c r="B18">
        <v>13850.5</v>
      </c>
      <c r="C18">
        <v>90630.9</v>
      </c>
      <c r="D18">
        <v>138143</v>
      </c>
      <c r="E18">
        <v>3</v>
      </c>
      <c r="F18">
        <v>20</v>
      </c>
      <c r="G18">
        <v>26</v>
      </c>
      <c r="H18">
        <v>1</v>
      </c>
      <c r="I18">
        <v>12</v>
      </c>
      <c r="J18">
        <v>20</v>
      </c>
      <c r="K18">
        <v>5</v>
      </c>
      <c r="L18">
        <v>7439.3432399870999</v>
      </c>
      <c r="M18">
        <v>85.351033999999999</v>
      </c>
      <c r="N18">
        <v>7287.0128620844798</v>
      </c>
      <c r="O18">
        <v>104.675326</v>
      </c>
      <c r="P18">
        <v>1</v>
      </c>
      <c r="Q18">
        <v>5.633677245579E-3</v>
      </c>
      <c r="R18">
        <v>5.5765801532372802E-2</v>
      </c>
      <c r="S18">
        <v>-5.633677245579E-3</v>
      </c>
    </row>
    <row r="19" spans="1:19" x14ac:dyDescent="0.25">
      <c r="A19" t="s">
        <v>26</v>
      </c>
      <c r="B19">
        <v>13850.5</v>
      </c>
      <c r="C19">
        <v>90630.9</v>
      </c>
      <c r="D19">
        <v>138143</v>
      </c>
      <c r="E19">
        <v>3</v>
      </c>
      <c r="F19">
        <v>20</v>
      </c>
      <c r="G19">
        <v>26</v>
      </c>
      <c r="H19">
        <v>1</v>
      </c>
      <c r="I19">
        <v>12</v>
      </c>
      <c r="J19">
        <v>18</v>
      </c>
      <c r="K19">
        <v>5</v>
      </c>
      <c r="L19">
        <v>7439.3432399870999</v>
      </c>
      <c r="M19">
        <v>85.351033999999999</v>
      </c>
      <c r="N19">
        <v>7137.4084000978</v>
      </c>
      <c r="O19">
        <v>125.899300999999</v>
      </c>
      <c r="P19">
        <v>1</v>
      </c>
      <c r="Q19">
        <v>5.5328639299395601E-3</v>
      </c>
      <c r="R19">
        <v>6.1247883108889102E-2</v>
      </c>
      <c r="S19">
        <v>4.4599260356854201E-2</v>
      </c>
    </row>
    <row r="20" spans="1:19" x14ac:dyDescent="0.25">
      <c r="A20" t="s">
        <v>26</v>
      </c>
      <c r="B20">
        <v>13850.5</v>
      </c>
      <c r="C20">
        <v>90630.9</v>
      </c>
      <c r="D20">
        <v>138143</v>
      </c>
      <c r="E20">
        <v>3</v>
      </c>
      <c r="F20">
        <v>20</v>
      </c>
      <c r="G20">
        <v>26</v>
      </c>
      <c r="H20">
        <v>1</v>
      </c>
      <c r="I20">
        <v>12</v>
      </c>
      <c r="J20">
        <v>24</v>
      </c>
      <c r="K20">
        <v>5</v>
      </c>
      <c r="L20">
        <v>7439.3432399870999</v>
      </c>
      <c r="M20">
        <v>85.351033999999999</v>
      </c>
      <c r="N20">
        <v>6612.7586509186804</v>
      </c>
      <c r="O20">
        <v>128.93970999999999</v>
      </c>
      <c r="P20">
        <v>3</v>
      </c>
      <c r="Q20">
        <v>1.9403269357991301E-2</v>
      </c>
      <c r="R20">
        <v>8.7739744809921492E-3</v>
      </c>
      <c r="S20">
        <v>8.6443874107752006E-2</v>
      </c>
    </row>
    <row r="21" spans="1:19" x14ac:dyDescent="0.25">
      <c r="A21" t="s">
        <v>26</v>
      </c>
      <c r="B21">
        <v>13850.5</v>
      </c>
      <c r="C21">
        <v>90630.9</v>
      </c>
      <c r="D21">
        <v>138143</v>
      </c>
      <c r="E21">
        <v>3</v>
      </c>
      <c r="F21">
        <v>20</v>
      </c>
      <c r="G21">
        <v>26</v>
      </c>
      <c r="H21">
        <v>1</v>
      </c>
      <c r="I21">
        <v>12</v>
      </c>
      <c r="J21">
        <v>18</v>
      </c>
      <c r="K21">
        <v>5</v>
      </c>
      <c r="L21">
        <v>7439.3432399870999</v>
      </c>
      <c r="M21">
        <v>85.351033999999999</v>
      </c>
      <c r="N21">
        <v>6453.6992657254596</v>
      </c>
      <c r="O21">
        <v>130.370836</v>
      </c>
      <c r="P21">
        <v>2</v>
      </c>
      <c r="Q21">
        <v>5.8825380163612297E-3</v>
      </c>
      <c r="R21">
        <v>4.1299256129962896E-3</v>
      </c>
      <c r="S21">
        <v>8.9335310572382906E-2</v>
      </c>
    </row>
    <row r="22" spans="1:19" x14ac:dyDescent="0.25">
      <c r="A22" t="s">
        <v>27</v>
      </c>
      <c r="B22">
        <v>14136.5</v>
      </c>
      <c r="C22">
        <v>57961.2</v>
      </c>
      <c r="D22">
        <v>138143</v>
      </c>
      <c r="E22">
        <v>3</v>
      </c>
      <c r="F22">
        <v>20</v>
      </c>
      <c r="G22">
        <v>27</v>
      </c>
      <c r="H22">
        <v>2</v>
      </c>
      <c r="I22">
        <v>16</v>
      </c>
      <c r="J22">
        <v>16</v>
      </c>
      <c r="K22">
        <v>2</v>
      </c>
      <c r="L22">
        <v>4328.4936926160399</v>
      </c>
      <c r="M22">
        <v>123.69091599999901</v>
      </c>
      <c r="N22">
        <v>4328.4936926160399</v>
      </c>
      <c r="O22">
        <v>123.69091599999901</v>
      </c>
      <c r="P22">
        <v>2</v>
      </c>
      <c r="Q22">
        <v>0</v>
      </c>
      <c r="R22">
        <v>0</v>
      </c>
      <c r="S22">
        <v>0</v>
      </c>
    </row>
    <row r="23" spans="1:19" x14ac:dyDescent="0.25">
      <c r="A23" t="s">
        <v>27</v>
      </c>
      <c r="B23">
        <v>14136.5</v>
      </c>
      <c r="C23">
        <v>57961.2</v>
      </c>
      <c r="D23">
        <v>138143</v>
      </c>
      <c r="E23">
        <v>3</v>
      </c>
      <c r="F23">
        <v>20</v>
      </c>
      <c r="G23">
        <v>27</v>
      </c>
      <c r="H23">
        <v>2</v>
      </c>
      <c r="I23">
        <v>16</v>
      </c>
      <c r="J23">
        <v>14</v>
      </c>
      <c r="K23">
        <v>2</v>
      </c>
      <c r="L23">
        <v>4328.4936926160399</v>
      </c>
      <c r="M23">
        <v>123.69091599999901</v>
      </c>
      <c r="N23">
        <v>3450.7425085100899</v>
      </c>
      <c r="O23">
        <v>148.93456399999999</v>
      </c>
      <c r="P23">
        <v>2</v>
      </c>
      <c r="Q23">
        <v>3.1540301402882297E-2</v>
      </c>
      <c r="R23">
        <v>6.5021058704413298E-2</v>
      </c>
      <c r="S23">
        <v>-3.1540301402882297E-2</v>
      </c>
    </row>
    <row r="24" spans="1:19" x14ac:dyDescent="0.25">
      <c r="A24" t="s">
        <v>28</v>
      </c>
      <c r="B24">
        <v>14971.5</v>
      </c>
      <c r="C24">
        <v>79558.399999999994</v>
      </c>
      <c r="D24">
        <v>138143</v>
      </c>
      <c r="E24">
        <v>3</v>
      </c>
      <c r="F24">
        <v>20</v>
      </c>
      <c r="G24">
        <v>30</v>
      </c>
      <c r="H24">
        <v>1</v>
      </c>
      <c r="I24">
        <v>24</v>
      </c>
      <c r="J24">
        <v>26</v>
      </c>
      <c r="K24">
        <v>1</v>
      </c>
      <c r="L24">
        <v>5869.5486383991001</v>
      </c>
      <c r="M24">
        <v>175.59253200000001</v>
      </c>
      <c r="N24">
        <v>3110.0454411179398</v>
      </c>
      <c r="O24">
        <v>167.551894</v>
      </c>
      <c r="P24">
        <v>1</v>
      </c>
      <c r="Q24">
        <v>0</v>
      </c>
      <c r="R24">
        <v>0</v>
      </c>
      <c r="S24">
        <v>-0.118838702275836</v>
      </c>
    </row>
    <row r="25" spans="1:19" x14ac:dyDescent="0.25">
      <c r="A25" t="s">
        <v>29</v>
      </c>
      <c r="B25">
        <v>12000.3</v>
      </c>
      <c r="C25">
        <v>1</v>
      </c>
      <c r="D25">
        <v>138143</v>
      </c>
      <c r="E25">
        <v>3</v>
      </c>
      <c r="F25">
        <v>20</v>
      </c>
      <c r="G25">
        <v>23</v>
      </c>
      <c r="H25">
        <v>2</v>
      </c>
      <c r="I25">
        <v>8</v>
      </c>
      <c r="J25">
        <v>8</v>
      </c>
      <c r="K25">
        <v>1</v>
      </c>
      <c r="L25">
        <v>0</v>
      </c>
      <c r="M25">
        <v>0</v>
      </c>
      <c r="N25">
        <v>0</v>
      </c>
      <c r="O25">
        <v>0</v>
      </c>
      <c r="P25">
        <v>7</v>
      </c>
      <c r="Q25">
        <v>0</v>
      </c>
      <c r="R25">
        <v>0</v>
      </c>
      <c r="S25">
        <v>0</v>
      </c>
    </row>
    <row r="26" spans="1:19" x14ac:dyDescent="0.25">
      <c r="A26" t="s">
        <v>30</v>
      </c>
      <c r="B26">
        <v>19646.7</v>
      </c>
      <c r="C26">
        <v>1600.2</v>
      </c>
      <c r="D26">
        <v>138143</v>
      </c>
      <c r="E26">
        <v>3</v>
      </c>
      <c r="F26">
        <v>20</v>
      </c>
      <c r="G26">
        <v>31</v>
      </c>
      <c r="H26">
        <v>2</v>
      </c>
      <c r="I26">
        <v>28</v>
      </c>
      <c r="J26">
        <v>36</v>
      </c>
      <c r="K26">
        <v>2</v>
      </c>
      <c r="L26">
        <v>3507.76397875357</v>
      </c>
      <c r="M26">
        <v>25.485223999999999</v>
      </c>
      <c r="N26">
        <v>3507.76397875357</v>
      </c>
      <c r="O26">
        <v>13.231275999999999</v>
      </c>
      <c r="P26">
        <v>5702</v>
      </c>
      <c r="Q26">
        <v>0</v>
      </c>
      <c r="R26">
        <v>0</v>
      </c>
      <c r="S26">
        <v>-3.2188718925684201E-2</v>
      </c>
    </row>
    <row r="27" spans="1:19" x14ac:dyDescent="0.25">
      <c r="A27" t="s">
        <v>30</v>
      </c>
      <c r="B27">
        <v>19646.7</v>
      </c>
      <c r="C27">
        <v>1600.2</v>
      </c>
      <c r="D27">
        <v>138143</v>
      </c>
      <c r="E27">
        <v>3</v>
      </c>
      <c r="F27">
        <v>20</v>
      </c>
      <c r="G27">
        <v>31</v>
      </c>
      <c r="H27">
        <v>2</v>
      </c>
      <c r="I27">
        <v>28</v>
      </c>
      <c r="J27">
        <v>46</v>
      </c>
      <c r="K27">
        <v>2</v>
      </c>
      <c r="L27">
        <v>3507.76397875357</v>
      </c>
      <c r="M27">
        <v>25.485223999999999</v>
      </c>
      <c r="N27">
        <v>3137.5160191295699</v>
      </c>
      <c r="O27">
        <v>39.156778000000003</v>
      </c>
      <c r="P27">
        <v>5259</v>
      </c>
      <c r="Q27">
        <v>1.41931332162374E-2</v>
      </c>
      <c r="R27">
        <v>6.8101210882016594E-2</v>
      </c>
      <c r="S27">
        <v>-4.6381852141921698E-2</v>
      </c>
    </row>
    <row r="28" spans="1:19" x14ac:dyDescent="0.25">
      <c r="A28" t="s">
        <v>31</v>
      </c>
      <c r="B28">
        <v>13319.4</v>
      </c>
      <c r="C28">
        <v>93167.7</v>
      </c>
      <c r="D28">
        <v>138143</v>
      </c>
      <c r="E28">
        <v>3</v>
      </c>
      <c r="F28">
        <v>20</v>
      </c>
      <c r="G28">
        <v>27</v>
      </c>
      <c r="H28">
        <v>2</v>
      </c>
      <c r="I28">
        <v>16</v>
      </c>
      <c r="J28">
        <v>24</v>
      </c>
      <c r="K28">
        <v>2</v>
      </c>
      <c r="L28">
        <v>3407.8195522358301</v>
      </c>
      <c r="M28">
        <v>61.889142</v>
      </c>
      <c r="N28">
        <v>3171.71219745894</v>
      </c>
      <c r="O28">
        <v>51.405943999999998</v>
      </c>
      <c r="P28">
        <v>2</v>
      </c>
      <c r="Q28">
        <v>0</v>
      </c>
      <c r="R28">
        <v>0</v>
      </c>
      <c r="S28">
        <v>-4.7386645627154403E-2</v>
      </c>
    </row>
    <row r="29" spans="1:19" x14ac:dyDescent="0.25">
      <c r="A29" t="s">
        <v>31</v>
      </c>
      <c r="B29">
        <v>13319.4</v>
      </c>
      <c r="C29">
        <v>93167.7</v>
      </c>
      <c r="D29">
        <v>138143</v>
      </c>
      <c r="E29">
        <v>3</v>
      </c>
      <c r="F29">
        <v>20</v>
      </c>
      <c r="G29">
        <v>27</v>
      </c>
      <c r="H29">
        <v>2</v>
      </c>
      <c r="I29">
        <v>16</v>
      </c>
      <c r="J29">
        <v>18</v>
      </c>
      <c r="K29">
        <v>2</v>
      </c>
      <c r="L29">
        <v>3407.8195522358301</v>
      </c>
      <c r="M29">
        <v>61.889142</v>
      </c>
      <c r="N29">
        <v>2677.0175293124998</v>
      </c>
      <c r="O29">
        <v>63.191349000000002</v>
      </c>
      <c r="P29">
        <v>1</v>
      </c>
      <c r="Q29">
        <v>1.79142786713915E-2</v>
      </c>
      <c r="R29">
        <v>4.3660753341613803E-2</v>
      </c>
      <c r="S29">
        <v>-6.5300924298545907E-2</v>
      </c>
    </row>
    <row r="30" spans="1:19" x14ac:dyDescent="0.25">
      <c r="A30" t="s">
        <v>32</v>
      </c>
      <c r="B30">
        <v>15826.4</v>
      </c>
      <c r="C30">
        <v>66871.600000000006</v>
      </c>
      <c r="D30">
        <v>138143</v>
      </c>
      <c r="E30">
        <v>3</v>
      </c>
      <c r="F30">
        <v>20</v>
      </c>
      <c r="G30">
        <v>31</v>
      </c>
      <c r="H30">
        <v>2</v>
      </c>
      <c r="I30">
        <v>20</v>
      </c>
      <c r="J30">
        <v>20</v>
      </c>
      <c r="K30">
        <v>2</v>
      </c>
      <c r="L30">
        <v>4611.4049374916303</v>
      </c>
      <c r="M30">
        <v>113.866058</v>
      </c>
      <c r="N30">
        <v>4611.4049374916303</v>
      </c>
      <c r="O30">
        <v>113.866058</v>
      </c>
      <c r="P30">
        <v>1</v>
      </c>
      <c r="Q30">
        <v>0</v>
      </c>
      <c r="R30">
        <v>0</v>
      </c>
      <c r="S30">
        <v>0</v>
      </c>
    </row>
    <row r="31" spans="1:19" x14ac:dyDescent="0.25">
      <c r="A31" t="s">
        <v>32</v>
      </c>
      <c r="B31">
        <v>15826.4</v>
      </c>
      <c r="C31">
        <v>66871.600000000006</v>
      </c>
      <c r="D31">
        <v>138143</v>
      </c>
      <c r="E31">
        <v>3</v>
      </c>
      <c r="F31">
        <v>20</v>
      </c>
      <c r="G31">
        <v>31</v>
      </c>
      <c r="H31">
        <v>2</v>
      </c>
      <c r="I31">
        <v>20</v>
      </c>
      <c r="J31">
        <v>26</v>
      </c>
      <c r="K31">
        <v>2</v>
      </c>
      <c r="L31">
        <v>4611.4049374916303</v>
      </c>
      <c r="M31">
        <v>113.866058</v>
      </c>
      <c r="N31">
        <v>4600.2446402938804</v>
      </c>
      <c r="O31">
        <v>121.317234</v>
      </c>
      <c r="P31">
        <v>1</v>
      </c>
      <c r="Q31" s="1">
        <v>4.1007035804019299E-4</v>
      </c>
      <c r="R31">
        <v>2.30348819324948E-2</v>
      </c>
      <c r="S31" s="1">
        <v>-4.1007035804019299E-4</v>
      </c>
    </row>
    <row r="32" spans="1:19" x14ac:dyDescent="0.25">
      <c r="A32" t="s">
        <v>33</v>
      </c>
      <c r="B32">
        <v>17376.5</v>
      </c>
      <c r="C32">
        <v>129375.1</v>
      </c>
      <c r="D32">
        <v>138143</v>
      </c>
      <c r="E32">
        <v>3</v>
      </c>
      <c r="F32">
        <v>20</v>
      </c>
      <c r="G32">
        <v>28</v>
      </c>
      <c r="H32">
        <v>3</v>
      </c>
      <c r="I32">
        <v>24</v>
      </c>
      <c r="J32">
        <v>20</v>
      </c>
      <c r="K32">
        <v>3</v>
      </c>
      <c r="L32">
        <v>7962.9603720007299</v>
      </c>
      <c r="M32">
        <v>94.654105000000001</v>
      </c>
      <c r="N32">
        <v>7442.6240292829598</v>
      </c>
      <c r="O32">
        <v>70.651616000000004</v>
      </c>
      <c r="P32">
        <v>1</v>
      </c>
      <c r="Q32">
        <v>0</v>
      </c>
      <c r="R32">
        <v>0</v>
      </c>
      <c r="S32">
        <v>-9.3212887991123095E-2</v>
      </c>
    </row>
    <row r="33" spans="1:19" x14ac:dyDescent="0.25">
      <c r="A33" t="s">
        <v>33</v>
      </c>
      <c r="B33">
        <v>17376.5</v>
      </c>
      <c r="C33">
        <v>129375.1</v>
      </c>
      <c r="D33">
        <v>138143</v>
      </c>
      <c r="E33">
        <v>3</v>
      </c>
      <c r="F33">
        <v>20</v>
      </c>
      <c r="G33">
        <v>28</v>
      </c>
      <c r="H33">
        <v>3</v>
      </c>
      <c r="I33">
        <v>24</v>
      </c>
      <c r="J33">
        <v>16</v>
      </c>
      <c r="K33">
        <v>3</v>
      </c>
      <c r="L33">
        <v>7962.9603720007299</v>
      </c>
      <c r="M33">
        <v>94.654105000000001</v>
      </c>
      <c r="N33">
        <v>6541.9420680885896</v>
      </c>
      <c r="O33">
        <v>82.022699000000003</v>
      </c>
      <c r="P33">
        <v>2</v>
      </c>
      <c r="Q33">
        <v>3.4125884098220503E-2</v>
      </c>
      <c r="R33">
        <v>3.4819333729517302E-2</v>
      </c>
      <c r="S33">
        <v>-0.12733877208934299</v>
      </c>
    </row>
    <row r="34" spans="1:19" x14ac:dyDescent="0.25">
      <c r="A34" t="s">
        <v>33</v>
      </c>
      <c r="B34">
        <v>17376.5</v>
      </c>
      <c r="C34">
        <v>129375.1</v>
      </c>
      <c r="D34">
        <v>138143</v>
      </c>
      <c r="E34">
        <v>3</v>
      </c>
      <c r="F34">
        <v>20</v>
      </c>
      <c r="G34">
        <v>28</v>
      </c>
      <c r="H34">
        <v>3</v>
      </c>
      <c r="I34">
        <v>24</v>
      </c>
      <c r="J34">
        <v>26</v>
      </c>
      <c r="K34">
        <v>3</v>
      </c>
      <c r="L34">
        <v>7962.9603720007299</v>
      </c>
      <c r="M34">
        <v>94.654105000000001</v>
      </c>
      <c r="N34">
        <v>6305.7414841460704</v>
      </c>
      <c r="O34">
        <v>110.067806</v>
      </c>
      <c r="P34">
        <v>1</v>
      </c>
      <c r="Q34">
        <v>8.9493895723917992E-3</v>
      </c>
      <c r="R34">
        <v>8.5876775335561595E-2</v>
      </c>
      <c r="S34">
        <v>-0.10146882793221799</v>
      </c>
    </row>
    <row r="35" spans="1:19" x14ac:dyDescent="0.25">
      <c r="A35" t="s">
        <v>34</v>
      </c>
      <c r="B35">
        <v>21658.3</v>
      </c>
      <c r="C35">
        <v>116307.9</v>
      </c>
      <c r="D35">
        <v>138143</v>
      </c>
      <c r="E35">
        <v>3</v>
      </c>
      <c r="F35">
        <v>20</v>
      </c>
      <c r="G35">
        <v>28</v>
      </c>
      <c r="H35">
        <v>2</v>
      </c>
      <c r="I35">
        <v>24</v>
      </c>
      <c r="J35">
        <v>30</v>
      </c>
      <c r="K35">
        <v>1</v>
      </c>
      <c r="L35">
        <v>1776.0507975417499</v>
      </c>
      <c r="M35">
        <v>65.226170999999994</v>
      </c>
      <c r="N35">
        <v>800.13052767348199</v>
      </c>
      <c r="O35">
        <v>52.085451999999897</v>
      </c>
      <c r="P35">
        <v>1</v>
      </c>
      <c r="Q35">
        <v>0</v>
      </c>
      <c r="R35">
        <v>0</v>
      </c>
      <c r="S35">
        <v>-7.0575132795066206E-2</v>
      </c>
    </row>
    <row r="36" spans="1:19" x14ac:dyDescent="0.25">
      <c r="A36" t="s">
        <v>35</v>
      </c>
      <c r="B36">
        <v>22179.200000000001</v>
      </c>
      <c r="C36">
        <v>62905.7</v>
      </c>
      <c r="D36">
        <v>138143</v>
      </c>
      <c r="E36">
        <v>3</v>
      </c>
      <c r="F36">
        <v>20</v>
      </c>
      <c r="G36">
        <v>30</v>
      </c>
      <c r="H36">
        <v>2</v>
      </c>
      <c r="I36">
        <v>24</v>
      </c>
      <c r="J36">
        <v>26</v>
      </c>
      <c r="K36">
        <v>1</v>
      </c>
      <c r="L36">
        <v>4307.6604607870204</v>
      </c>
      <c r="M36">
        <v>149.70265599999999</v>
      </c>
      <c r="N36">
        <v>3556.0463819032102</v>
      </c>
      <c r="O36">
        <v>143.19403199999999</v>
      </c>
      <c r="P36">
        <v>2</v>
      </c>
      <c r="Q36">
        <v>0</v>
      </c>
      <c r="R36">
        <v>0</v>
      </c>
      <c r="S36">
        <v>-4.7426143889622102E-2</v>
      </c>
    </row>
    <row r="37" spans="1:19" x14ac:dyDescent="0.25">
      <c r="A37" t="s">
        <v>36</v>
      </c>
      <c r="B37">
        <v>23363.200000000001</v>
      </c>
      <c r="C37">
        <v>89768.5</v>
      </c>
      <c r="D37">
        <v>138143</v>
      </c>
      <c r="E37">
        <v>3</v>
      </c>
      <c r="F37">
        <v>20</v>
      </c>
      <c r="G37">
        <v>31</v>
      </c>
      <c r="H37">
        <v>1</v>
      </c>
      <c r="I37">
        <v>30</v>
      </c>
      <c r="J37">
        <v>20</v>
      </c>
      <c r="K37">
        <v>1</v>
      </c>
      <c r="L37">
        <v>9295.6351006432596</v>
      </c>
      <c r="M37">
        <v>178.60384499999901</v>
      </c>
      <c r="N37">
        <v>7286.5394916759196</v>
      </c>
      <c r="O37">
        <v>158.53356199999999</v>
      </c>
      <c r="P37">
        <v>1</v>
      </c>
      <c r="Q37">
        <v>0</v>
      </c>
      <c r="R37">
        <v>0</v>
      </c>
      <c r="S37">
        <v>-0.128173668256822</v>
      </c>
    </row>
    <row r="38" spans="1:19" x14ac:dyDescent="0.25">
      <c r="A38" t="s">
        <v>37</v>
      </c>
      <c r="B38">
        <v>23316.5</v>
      </c>
      <c r="C38">
        <v>73145.3</v>
      </c>
      <c r="D38">
        <v>138143</v>
      </c>
      <c r="E38">
        <v>3</v>
      </c>
      <c r="F38">
        <v>20</v>
      </c>
      <c r="G38">
        <v>25</v>
      </c>
      <c r="H38">
        <v>3</v>
      </c>
      <c r="I38">
        <v>16</v>
      </c>
      <c r="J38">
        <v>16</v>
      </c>
      <c r="K38">
        <v>1</v>
      </c>
      <c r="L38">
        <v>3630.8041964959598</v>
      </c>
      <c r="M38">
        <v>99.281042999999997</v>
      </c>
      <c r="N38">
        <v>2943.0771196656601</v>
      </c>
      <c r="O38">
        <v>99.281042999999997</v>
      </c>
      <c r="P38">
        <v>1</v>
      </c>
      <c r="Q38">
        <v>0</v>
      </c>
      <c r="R38">
        <v>0</v>
      </c>
      <c r="S38">
        <v>-2.4716011769362198E-2</v>
      </c>
    </row>
    <row r="39" spans="1:19" x14ac:dyDescent="0.25">
      <c r="A39" t="s">
        <v>38</v>
      </c>
      <c r="B39">
        <v>18614</v>
      </c>
      <c r="C39">
        <v>97838.6</v>
      </c>
      <c r="D39">
        <v>138143</v>
      </c>
      <c r="E39">
        <v>3</v>
      </c>
      <c r="F39">
        <v>20</v>
      </c>
      <c r="G39">
        <v>24</v>
      </c>
      <c r="H39">
        <v>3</v>
      </c>
      <c r="I39">
        <v>8</v>
      </c>
      <c r="J39">
        <v>8</v>
      </c>
      <c r="K39">
        <v>3</v>
      </c>
      <c r="L39">
        <v>7373.8942123368697</v>
      </c>
      <c r="M39">
        <v>51.001702999999999</v>
      </c>
      <c r="N39">
        <v>7373.8942123368697</v>
      </c>
      <c r="O39">
        <v>51.001702999999999</v>
      </c>
      <c r="P39">
        <v>2</v>
      </c>
      <c r="Q39">
        <v>0</v>
      </c>
      <c r="R39">
        <v>0</v>
      </c>
      <c r="S39">
        <v>0</v>
      </c>
    </row>
    <row r="40" spans="1:19" x14ac:dyDescent="0.25">
      <c r="A40" t="s">
        <v>38</v>
      </c>
      <c r="B40">
        <v>18614</v>
      </c>
      <c r="C40">
        <v>97838.6</v>
      </c>
      <c r="D40">
        <v>138143</v>
      </c>
      <c r="E40">
        <v>3</v>
      </c>
      <c r="F40">
        <v>20</v>
      </c>
      <c r="G40">
        <v>24</v>
      </c>
      <c r="H40">
        <v>3</v>
      </c>
      <c r="I40">
        <v>8</v>
      </c>
      <c r="J40">
        <v>14</v>
      </c>
      <c r="K40">
        <v>3</v>
      </c>
      <c r="L40">
        <v>7373.8942123368697</v>
      </c>
      <c r="M40">
        <v>51.001702999999999</v>
      </c>
      <c r="N40">
        <v>7007.1720803163498</v>
      </c>
      <c r="O40">
        <v>52.716056999999999</v>
      </c>
      <c r="P40">
        <v>1</v>
      </c>
      <c r="Q40">
        <v>1.32668458954664E-2</v>
      </c>
      <c r="R40">
        <v>5.6060559402666401E-3</v>
      </c>
      <c r="S40">
        <v>-1.32668458954664E-2</v>
      </c>
    </row>
    <row r="41" spans="1:19" x14ac:dyDescent="0.25">
      <c r="A41" t="s">
        <v>38</v>
      </c>
      <c r="B41">
        <v>18614</v>
      </c>
      <c r="C41">
        <v>97838.6</v>
      </c>
      <c r="D41">
        <v>138143</v>
      </c>
      <c r="E41">
        <v>3</v>
      </c>
      <c r="F41">
        <v>20</v>
      </c>
      <c r="G41">
        <v>24</v>
      </c>
      <c r="H41">
        <v>3</v>
      </c>
      <c r="I41">
        <v>8</v>
      </c>
      <c r="J41">
        <v>12</v>
      </c>
      <c r="K41">
        <v>3</v>
      </c>
      <c r="L41">
        <v>7373.8942123368697</v>
      </c>
      <c r="M41">
        <v>51.001702999999999</v>
      </c>
      <c r="N41">
        <v>6361.8077404589703</v>
      </c>
      <c r="O41">
        <v>79.001703000000006</v>
      </c>
      <c r="P41">
        <v>1</v>
      </c>
      <c r="Q41">
        <v>2.3347238946675401E-2</v>
      </c>
      <c r="R41">
        <v>8.5955877200418404E-2</v>
      </c>
      <c r="S41">
        <v>-3.10080289018752E-2</v>
      </c>
    </row>
    <row r="42" spans="1:19" x14ac:dyDescent="0.25">
      <c r="A42" t="s">
        <v>39</v>
      </c>
      <c r="B42">
        <v>19612</v>
      </c>
      <c r="C42">
        <v>24514.6</v>
      </c>
      <c r="D42">
        <v>138143</v>
      </c>
      <c r="E42">
        <v>3</v>
      </c>
      <c r="F42">
        <v>20</v>
      </c>
      <c r="G42">
        <v>31</v>
      </c>
      <c r="H42">
        <v>2</v>
      </c>
      <c r="I42">
        <v>24</v>
      </c>
      <c r="J42">
        <v>48</v>
      </c>
      <c r="K42">
        <v>2</v>
      </c>
      <c r="L42">
        <v>5032.66918434529</v>
      </c>
      <c r="M42">
        <v>92.104409000000004</v>
      </c>
      <c r="N42">
        <v>5032.66918434529</v>
      </c>
      <c r="O42">
        <v>65.731995999999995</v>
      </c>
      <c r="P42">
        <v>197</v>
      </c>
      <c r="Q42">
        <v>0</v>
      </c>
      <c r="R42">
        <v>0</v>
      </c>
      <c r="S42">
        <v>-6.3130131636663006E-2</v>
      </c>
    </row>
    <row r="43" spans="1:19" x14ac:dyDescent="0.25">
      <c r="A43" t="s">
        <v>39</v>
      </c>
      <c r="B43">
        <v>19612</v>
      </c>
      <c r="C43">
        <v>24514.6</v>
      </c>
      <c r="D43">
        <v>138143</v>
      </c>
      <c r="E43">
        <v>3</v>
      </c>
      <c r="F43">
        <v>20</v>
      </c>
      <c r="G43">
        <v>31</v>
      </c>
      <c r="H43">
        <v>2</v>
      </c>
      <c r="I43">
        <v>24</v>
      </c>
      <c r="J43">
        <v>44</v>
      </c>
      <c r="K43">
        <v>2</v>
      </c>
      <c r="L43">
        <v>5032.66918434529</v>
      </c>
      <c r="M43">
        <v>92.104409000000004</v>
      </c>
      <c r="N43">
        <v>4314.1058143627197</v>
      </c>
      <c r="O43">
        <v>90.793059999999997</v>
      </c>
      <c r="P43">
        <v>198</v>
      </c>
      <c r="Q43">
        <v>2.5945216574186501E-2</v>
      </c>
      <c r="R43">
        <v>5.9991031889074301E-2</v>
      </c>
      <c r="S43">
        <v>-8.90753482108496E-2</v>
      </c>
    </row>
    <row r="44" spans="1:19" x14ac:dyDescent="0.25">
      <c r="A44" t="s">
        <v>40</v>
      </c>
      <c r="B44">
        <v>13740.7</v>
      </c>
      <c r="C44">
        <v>1</v>
      </c>
      <c r="D44">
        <v>138143</v>
      </c>
      <c r="E44">
        <v>3</v>
      </c>
      <c r="F44">
        <v>20</v>
      </c>
      <c r="G44">
        <v>25</v>
      </c>
      <c r="H44">
        <v>3</v>
      </c>
      <c r="I44">
        <v>8</v>
      </c>
      <c r="J44">
        <v>8</v>
      </c>
      <c r="K44">
        <v>1</v>
      </c>
      <c r="L44">
        <v>0</v>
      </c>
      <c r="M44">
        <v>46.135564000000002</v>
      </c>
      <c r="N44">
        <v>0</v>
      </c>
      <c r="O44">
        <v>46.135564000000002</v>
      </c>
      <c r="P44">
        <v>3</v>
      </c>
      <c r="Q44">
        <v>0</v>
      </c>
      <c r="R44">
        <v>0</v>
      </c>
      <c r="S44">
        <v>0</v>
      </c>
    </row>
    <row r="45" spans="1:19" x14ac:dyDescent="0.25">
      <c r="A45" t="s">
        <v>41</v>
      </c>
      <c r="B45">
        <v>15036.3</v>
      </c>
      <c r="C45">
        <v>107803.5</v>
      </c>
      <c r="D45">
        <v>138143</v>
      </c>
      <c r="E45">
        <v>3</v>
      </c>
      <c r="F45">
        <v>20</v>
      </c>
      <c r="G45">
        <v>29</v>
      </c>
      <c r="H45">
        <v>2</v>
      </c>
      <c r="I45">
        <v>16</v>
      </c>
      <c r="J45">
        <v>16</v>
      </c>
      <c r="K45">
        <v>6</v>
      </c>
      <c r="L45">
        <v>2828.2343027389202</v>
      </c>
      <c r="M45">
        <v>97.672105000000002</v>
      </c>
      <c r="N45">
        <v>2828.2343027389202</v>
      </c>
      <c r="O45">
        <v>97.672105000000002</v>
      </c>
      <c r="P45">
        <v>2</v>
      </c>
      <c r="Q45">
        <v>0</v>
      </c>
      <c r="R45">
        <v>0</v>
      </c>
      <c r="S45">
        <v>0</v>
      </c>
    </row>
    <row r="46" spans="1:19" x14ac:dyDescent="0.25">
      <c r="A46" t="s">
        <v>41</v>
      </c>
      <c r="B46">
        <v>15036.3</v>
      </c>
      <c r="C46">
        <v>107803.5</v>
      </c>
      <c r="D46">
        <v>138143</v>
      </c>
      <c r="E46">
        <v>3</v>
      </c>
      <c r="F46">
        <v>20</v>
      </c>
      <c r="G46">
        <v>29</v>
      </c>
      <c r="H46">
        <v>2</v>
      </c>
      <c r="I46">
        <v>16</v>
      </c>
      <c r="J46">
        <v>14</v>
      </c>
      <c r="K46">
        <v>6</v>
      </c>
      <c r="L46">
        <v>2828.2343027389202</v>
      </c>
      <c r="M46">
        <v>97.672105000000002</v>
      </c>
      <c r="N46">
        <v>2675.4771017210901</v>
      </c>
      <c r="O46">
        <v>124.389039</v>
      </c>
      <c r="P46">
        <v>1</v>
      </c>
      <c r="Q46">
        <v>5.6294635358107104E-3</v>
      </c>
      <c r="R46">
        <v>7.92534385367063E-2</v>
      </c>
      <c r="S46">
        <v>-5.6294635358107104E-3</v>
      </c>
    </row>
    <row r="47" spans="1:19" x14ac:dyDescent="0.25">
      <c r="A47" t="s">
        <v>41</v>
      </c>
      <c r="B47">
        <v>15036.3</v>
      </c>
      <c r="C47">
        <v>107803.5</v>
      </c>
      <c r="D47">
        <v>138143</v>
      </c>
      <c r="E47">
        <v>3</v>
      </c>
      <c r="F47">
        <v>20</v>
      </c>
      <c r="G47">
        <v>29</v>
      </c>
      <c r="H47">
        <v>2</v>
      </c>
      <c r="I47">
        <v>16</v>
      </c>
      <c r="J47">
        <v>26</v>
      </c>
      <c r="K47">
        <v>6</v>
      </c>
      <c r="L47">
        <v>2828.2343027389202</v>
      </c>
      <c r="M47">
        <v>97.672105000000002</v>
      </c>
      <c r="N47">
        <v>2647.9723981074899</v>
      </c>
      <c r="O47">
        <v>139.494978</v>
      </c>
      <c r="P47">
        <v>1</v>
      </c>
      <c r="Q47">
        <v>1.0136132701066901E-3</v>
      </c>
      <c r="R47">
        <v>4.4810441500350899E-2</v>
      </c>
      <c r="S47">
        <v>7.26103617307889E-2</v>
      </c>
    </row>
    <row r="48" spans="1:19" x14ac:dyDescent="0.25">
      <c r="A48" t="s">
        <v>41</v>
      </c>
      <c r="B48">
        <v>15036.3</v>
      </c>
      <c r="C48">
        <v>107803.5</v>
      </c>
      <c r="D48">
        <v>138143</v>
      </c>
      <c r="E48">
        <v>3</v>
      </c>
      <c r="F48">
        <v>20</v>
      </c>
      <c r="G48">
        <v>29</v>
      </c>
      <c r="H48">
        <v>2</v>
      </c>
      <c r="I48">
        <v>16</v>
      </c>
      <c r="J48">
        <v>26</v>
      </c>
      <c r="K48">
        <v>6</v>
      </c>
      <c r="L48">
        <v>2828.2343027389202</v>
      </c>
      <c r="M48">
        <v>97.672105000000002</v>
      </c>
      <c r="N48">
        <v>2647.8458734917999</v>
      </c>
      <c r="O48">
        <v>141.773144</v>
      </c>
      <c r="P48">
        <v>1</v>
      </c>
      <c r="Q48" s="1">
        <v>4.6627308282337598E-6</v>
      </c>
      <c r="R48">
        <v>6.7579793795730604E-3</v>
      </c>
      <c r="S48">
        <v>0.117416140500311</v>
      </c>
    </row>
    <row r="49" spans="1:19" x14ac:dyDescent="0.25">
      <c r="A49" t="s">
        <v>41</v>
      </c>
      <c r="B49">
        <v>15036.3</v>
      </c>
      <c r="C49">
        <v>107803.5</v>
      </c>
      <c r="D49">
        <v>138143</v>
      </c>
      <c r="E49">
        <v>3</v>
      </c>
      <c r="F49">
        <v>20</v>
      </c>
      <c r="G49">
        <v>29</v>
      </c>
      <c r="H49">
        <v>2</v>
      </c>
      <c r="I49">
        <v>16</v>
      </c>
      <c r="J49">
        <v>22</v>
      </c>
      <c r="K49">
        <v>6</v>
      </c>
      <c r="L49">
        <v>2828.2343027389202</v>
      </c>
      <c r="M49">
        <v>97.672105000000002</v>
      </c>
      <c r="N49">
        <v>2647.63953307459</v>
      </c>
      <c r="O49">
        <v>148.89030500000001</v>
      </c>
      <c r="P49">
        <v>1</v>
      </c>
      <c r="Q49" s="1">
        <v>7.60413156897232E-6</v>
      </c>
      <c r="R49">
        <v>2.1112433105884999E-2</v>
      </c>
      <c r="S49">
        <v>0.124166515748315</v>
      </c>
    </row>
    <row r="50" spans="1:19" x14ac:dyDescent="0.25">
      <c r="A50" t="s">
        <v>41</v>
      </c>
      <c r="B50">
        <v>15036.3</v>
      </c>
      <c r="C50">
        <v>107803.5</v>
      </c>
      <c r="D50">
        <v>138143</v>
      </c>
      <c r="E50">
        <v>3</v>
      </c>
      <c r="F50">
        <v>20</v>
      </c>
      <c r="G50">
        <v>29</v>
      </c>
      <c r="H50">
        <v>2</v>
      </c>
      <c r="I50">
        <v>16</v>
      </c>
      <c r="J50">
        <v>24</v>
      </c>
      <c r="K50">
        <v>6</v>
      </c>
      <c r="L50">
        <v>2828.2343027389202</v>
      </c>
      <c r="M50">
        <v>97.672105000000002</v>
      </c>
      <c r="N50">
        <v>2494.7428376623898</v>
      </c>
      <c r="O50">
        <v>152.416122</v>
      </c>
      <c r="P50">
        <v>2</v>
      </c>
      <c r="Q50">
        <v>5.6346042336066302E-3</v>
      </c>
      <c r="R50">
        <v>1.04590265073519E-2</v>
      </c>
      <c r="S50">
        <v>0.139644344620594</v>
      </c>
    </row>
    <row r="51" spans="1:19" x14ac:dyDescent="0.25">
      <c r="A51" t="s">
        <v>42</v>
      </c>
      <c r="B51">
        <v>16207.2</v>
      </c>
      <c r="C51">
        <v>94533</v>
      </c>
      <c r="D51">
        <v>138143</v>
      </c>
      <c r="E51">
        <v>3</v>
      </c>
      <c r="F51">
        <v>20</v>
      </c>
      <c r="G51">
        <v>28</v>
      </c>
      <c r="H51">
        <v>2</v>
      </c>
      <c r="I51">
        <v>22</v>
      </c>
      <c r="J51">
        <v>26</v>
      </c>
      <c r="K51">
        <v>3</v>
      </c>
      <c r="L51">
        <v>5086.2050216395901</v>
      </c>
      <c r="M51">
        <v>127.618145</v>
      </c>
      <c r="N51">
        <v>5086.2050216395901</v>
      </c>
      <c r="O51">
        <v>116.97842799999999</v>
      </c>
      <c r="P51">
        <v>1</v>
      </c>
      <c r="Q51">
        <v>0</v>
      </c>
      <c r="R51">
        <v>0</v>
      </c>
      <c r="S51">
        <v>-3.4347325082974597E-2</v>
      </c>
    </row>
    <row r="52" spans="1:19" x14ac:dyDescent="0.25">
      <c r="A52" t="s">
        <v>42</v>
      </c>
      <c r="B52">
        <v>16207.2</v>
      </c>
      <c r="C52">
        <v>94533</v>
      </c>
      <c r="D52">
        <v>138143</v>
      </c>
      <c r="E52">
        <v>3</v>
      </c>
      <c r="F52">
        <v>20</v>
      </c>
      <c r="G52">
        <v>28</v>
      </c>
      <c r="H52">
        <v>2</v>
      </c>
      <c r="I52">
        <v>22</v>
      </c>
      <c r="J52">
        <v>30</v>
      </c>
      <c r="K52">
        <v>3</v>
      </c>
      <c r="L52">
        <v>5086.2050216395901</v>
      </c>
      <c r="M52">
        <v>127.618145</v>
      </c>
      <c r="N52">
        <v>4509.3796450834998</v>
      </c>
      <c r="O52">
        <v>123.401736</v>
      </c>
      <c r="P52">
        <v>1</v>
      </c>
      <c r="Q52">
        <v>2.0951981702331101E-2</v>
      </c>
      <c r="R52">
        <v>2.07358379911863E-2</v>
      </c>
      <c r="S52">
        <v>-5.5299306785305799E-2</v>
      </c>
    </row>
    <row r="53" spans="1:19" x14ac:dyDescent="0.25">
      <c r="A53" t="s">
        <v>42</v>
      </c>
      <c r="B53">
        <v>16207.2</v>
      </c>
      <c r="C53">
        <v>94533</v>
      </c>
      <c r="D53">
        <v>138143</v>
      </c>
      <c r="E53">
        <v>3</v>
      </c>
      <c r="F53">
        <v>20</v>
      </c>
      <c r="G53">
        <v>28</v>
      </c>
      <c r="H53">
        <v>2</v>
      </c>
      <c r="I53">
        <v>22</v>
      </c>
      <c r="J53">
        <v>28</v>
      </c>
      <c r="K53">
        <v>3</v>
      </c>
      <c r="L53">
        <v>5086.2050216395901</v>
      </c>
      <c r="M53">
        <v>127.618145</v>
      </c>
      <c r="N53">
        <v>4383.3415888383597</v>
      </c>
      <c r="O53">
        <v>149.389219</v>
      </c>
      <c r="P53">
        <v>2</v>
      </c>
      <c r="Q53">
        <v>4.5780701674606999E-3</v>
      </c>
      <c r="R53">
        <v>8.3893258315919303E-2</v>
      </c>
      <c r="S53">
        <v>-3.9141538961580097E-2</v>
      </c>
    </row>
    <row r="54" spans="1:19" x14ac:dyDescent="0.25">
      <c r="A54" t="s">
        <v>43</v>
      </c>
      <c r="B54">
        <v>15100.2</v>
      </c>
      <c r="C54">
        <v>1659.5</v>
      </c>
      <c r="D54">
        <v>138143</v>
      </c>
      <c r="E54">
        <v>3</v>
      </c>
      <c r="F54">
        <v>20</v>
      </c>
      <c r="G54">
        <v>28</v>
      </c>
      <c r="H54">
        <v>3</v>
      </c>
      <c r="I54">
        <v>16</v>
      </c>
      <c r="J54">
        <v>36</v>
      </c>
      <c r="K54">
        <v>2</v>
      </c>
      <c r="L54">
        <v>3402.2851255741498</v>
      </c>
      <c r="M54">
        <v>48.974395999999999</v>
      </c>
      <c r="N54">
        <v>3255.3564152871199</v>
      </c>
      <c r="O54">
        <v>40.777555999999997</v>
      </c>
      <c r="P54">
        <v>5497</v>
      </c>
      <c r="Q54">
        <v>0</v>
      </c>
      <c r="R54">
        <v>0</v>
      </c>
      <c r="S54">
        <v>-2.8620811899132199E-2</v>
      </c>
    </row>
    <row r="55" spans="1:19" x14ac:dyDescent="0.25">
      <c r="A55" t="s">
        <v>43</v>
      </c>
      <c r="B55">
        <v>15100.2</v>
      </c>
      <c r="C55">
        <v>1659.5</v>
      </c>
      <c r="D55">
        <v>138143</v>
      </c>
      <c r="E55">
        <v>3</v>
      </c>
      <c r="F55">
        <v>20</v>
      </c>
      <c r="G55">
        <v>28</v>
      </c>
      <c r="H55">
        <v>3</v>
      </c>
      <c r="I55">
        <v>16</v>
      </c>
      <c r="J55">
        <v>44</v>
      </c>
      <c r="K55">
        <v>2</v>
      </c>
      <c r="L55">
        <v>3402.2851255741498</v>
      </c>
      <c r="M55">
        <v>48.974395999999999</v>
      </c>
      <c r="N55">
        <v>2427.7162548848801</v>
      </c>
      <c r="O55">
        <v>66.537267</v>
      </c>
      <c r="P55">
        <v>5276</v>
      </c>
      <c r="Q55">
        <v>3.1420259865502599E-2</v>
      </c>
      <c r="R55">
        <v>7.24153911959865E-2</v>
      </c>
      <c r="S55">
        <v>-6.0041071764634801E-2</v>
      </c>
    </row>
    <row r="56" spans="1:19" x14ac:dyDescent="0.25">
      <c r="A56" t="s">
        <v>44</v>
      </c>
      <c r="B56">
        <v>12067.9</v>
      </c>
      <c r="C56">
        <v>57614.9</v>
      </c>
      <c r="D56">
        <v>138143</v>
      </c>
      <c r="E56">
        <v>3</v>
      </c>
      <c r="F56">
        <v>20</v>
      </c>
      <c r="G56">
        <v>24</v>
      </c>
      <c r="H56">
        <v>3</v>
      </c>
      <c r="I56">
        <v>12</v>
      </c>
      <c r="J56">
        <v>12</v>
      </c>
      <c r="K56">
        <v>2</v>
      </c>
      <c r="L56">
        <v>3772.0920515287999</v>
      </c>
      <c r="M56">
        <v>48.205339000000002</v>
      </c>
      <c r="N56">
        <v>3772.0920515287999</v>
      </c>
      <c r="O56">
        <v>48.205339000000002</v>
      </c>
      <c r="P56">
        <v>6</v>
      </c>
      <c r="Q56">
        <v>0</v>
      </c>
      <c r="R56">
        <v>0</v>
      </c>
      <c r="S56">
        <v>0</v>
      </c>
    </row>
    <row r="57" spans="1:19" x14ac:dyDescent="0.25">
      <c r="A57" t="s">
        <v>44</v>
      </c>
      <c r="B57">
        <v>12067.9</v>
      </c>
      <c r="C57">
        <v>57614.9</v>
      </c>
      <c r="D57">
        <v>138143</v>
      </c>
      <c r="E57">
        <v>3</v>
      </c>
      <c r="F57">
        <v>20</v>
      </c>
      <c r="G57">
        <v>24</v>
      </c>
      <c r="H57">
        <v>3</v>
      </c>
      <c r="I57">
        <v>12</v>
      </c>
      <c r="J57">
        <v>16</v>
      </c>
      <c r="K57">
        <v>2</v>
      </c>
      <c r="L57">
        <v>3772.0920515287999</v>
      </c>
      <c r="M57">
        <v>48.205339000000002</v>
      </c>
      <c r="N57">
        <v>3498.0468888997498</v>
      </c>
      <c r="O57">
        <v>73.374855999999994</v>
      </c>
      <c r="P57">
        <v>1</v>
      </c>
      <c r="Q57">
        <v>9.8162991824083095E-3</v>
      </c>
      <c r="R57">
        <v>8.0152693524677798E-2</v>
      </c>
      <c r="S57">
        <v>-9.8162991824083095E-3</v>
      </c>
    </row>
    <row r="58" spans="1:19" x14ac:dyDescent="0.25">
      <c r="A58" t="s">
        <v>45</v>
      </c>
      <c r="B58">
        <v>12911.2</v>
      </c>
      <c r="C58">
        <v>11367.8</v>
      </c>
      <c r="D58">
        <v>138143</v>
      </c>
      <c r="E58">
        <v>3</v>
      </c>
      <c r="F58">
        <v>20</v>
      </c>
      <c r="G58">
        <v>27</v>
      </c>
      <c r="H58">
        <v>1</v>
      </c>
      <c r="I58">
        <v>18</v>
      </c>
      <c r="J58">
        <v>16</v>
      </c>
      <c r="K58">
        <v>1</v>
      </c>
      <c r="L58">
        <v>3348.5785027237298</v>
      </c>
      <c r="M58">
        <v>139.71910499999899</v>
      </c>
      <c r="N58">
        <v>3348.5785027237298</v>
      </c>
      <c r="O58">
        <v>130.70303999999999</v>
      </c>
      <c r="P58">
        <v>1</v>
      </c>
      <c r="Q58">
        <v>0</v>
      </c>
      <c r="R58">
        <v>0</v>
      </c>
      <c r="S58">
        <v>-2.5760772250268599E-2</v>
      </c>
    </row>
    <row r="59" spans="1:19" x14ac:dyDescent="0.25">
      <c r="A59" t="s">
        <v>46</v>
      </c>
      <c r="B59">
        <v>12362.9</v>
      </c>
      <c r="C59">
        <v>89276.2</v>
      </c>
      <c r="D59">
        <v>138143</v>
      </c>
      <c r="E59">
        <v>3</v>
      </c>
      <c r="F59">
        <v>20</v>
      </c>
      <c r="G59">
        <v>23</v>
      </c>
      <c r="H59">
        <v>1</v>
      </c>
      <c r="I59">
        <v>8</v>
      </c>
      <c r="J59">
        <v>24</v>
      </c>
      <c r="K59">
        <v>2</v>
      </c>
      <c r="L59">
        <v>6051.53734641348</v>
      </c>
      <c r="M59">
        <v>48.442883999999999</v>
      </c>
      <c r="N59">
        <v>5940.0658303647197</v>
      </c>
      <c r="O59">
        <v>37.565480999999998</v>
      </c>
      <c r="P59">
        <v>3</v>
      </c>
      <c r="Q59">
        <v>0</v>
      </c>
      <c r="R59">
        <v>0</v>
      </c>
      <c r="S59">
        <v>-4.3642404339464799E-2</v>
      </c>
    </row>
    <row r="60" spans="1:19" x14ac:dyDescent="0.25">
      <c r="A60" t="s">
        <v>46</v>
      </c>
      <c r="B60">
        <v>12362.9</v>
      </c>
      <c r="C60">
        <v>89276.2</v>
      </c>
      <c r="D60">
        <v>138143</v>
      </c>
      <c r="E60">
        <v>3</v>
      </c>
      <c r="F60">
        <v>20</v>
      </c>
      <c r="G60">
        <v>23</v>
      </c>
      <c r="H60">
        <v>1</v>
      </c>
      <c r="I60">
        <v>8</v>
      </c>
      <c r="J60">
        <v>20</v>
      </c>
      <c r="K60">
        <v>2</v>
      </c>
      <c r="L60">
        <v>6051.53734641348</v>
      </c>
      <c r="M60">
        <v>48.442883999999999</v>
      </c>
      <c r="N60">
        <v>5686.8741753643199</v>
      </c>
      <c r="O60">
        <v>65.261066</v>
      </c>
      <c r="P60">
        <v>4</v>
      </c>
      <c r="Q60">
        <v>9.3870548513974496E-3</v>
      </c>
      <c r="R60">
        <v>0.10059770154054</v>
      </c>
      <c r="S60">
        <v>-5.3029459190862299E-2</v>
      </c>
    </row>
    <row r="61" spans="1:19" x14ac:dyDescent="0.25">
      <c r="A61" t="s">
        <v>47</v>
      </c>
      <c r="B61">
        <v>14103.2</v>
      </c>
      <c r="C61">
        <v>13699.7</v>
      </c>
      <c r="D61">
        <v>138143</v>
      </c>
      <c r="E61">
        <v>3</v>
      </c>
      <c r="F61">
        <v>20</v>
      </c>
      <c r="G61">
        <v>27</v>
      </c>
      <c r="H61">
        <v>2</v>
      </c>
      <c r="I61">
        <v>16</v>
      </c>
      <c r="J61">
        <v>20</v>
      </c>
      <c r="K61">
        <v>1</v>
      </c>
      <c r="L61">
        <v>2721.1490679142398</v>
      </c>
      <c r="M61">
        <v>138.49139400000001</v>
      </c>
      <c r="N61">
        <v>2721.1490679142398</v>
      </c>
      <c r="O61">
        <v>134.751643</v>
      </c>
      <c r="P61">
        <v>1</v>
      </c>
      <c r="Q61">
        <v>0</v>
      </c>
      <c r="R61">
        <v>0</v>
      </c>
      <c r="S61">
        <v>-1.1258408325596899E-2</v>
      </c>
    </row>
    <row r="62" spans="1:19" x14ac:dyDescent="0.25">
      <c r="A62" t="s">
        <v>48</v>
      </c>
      <c r="B62">
        <v>12098.8</v>
      </c>
      <c r="C62">
        <v>8581.4</v>
      </c>
      <c r="D62">
        <v>138143</v>
      </c>
      <c r="E62">
        <v>3</v>
      </c>
      <c r="F62">
        <v>20</v>
      </c>
      <c r="G62">
        <v>28</v>
      </c>
      <c r="H62">
        <v>1</v>
      </c>
      <c r="I62">
        <v>20</v>
      </c>
      <c r="J62">
        <v>32</v>
      </c>
      <c r="K62">
        <v>1</v>
      </c>
      <c r="L62">
        <v>3501.1266002812999</v>
      </c>
      <c r="M62">
        <v>28.227296999999901</v>
      </c>
      <c r="N62">
        <v>2074.53495314866</v>
      </c>
      <c r="O62">
        <v>4.2780719999999999</v>
      </c>
      <c r="P62">
        <v>502</v>
      </c>
      <c r="Q62">
        <v>0</v>
      </c>
      <c r="R62">
        <v>0</v>
      </c>
      <c r="S62">
        <v>-0.118518255965117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P3_20_2000_summary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Cardoso</cp:lastModifiedBy>
  <dcterms:created xsi:type="dcterms:W3CDTF">2026-09-09T10:07:22Z</dcterms:created>
  <dcterms:modified xsi:type="dcterms:W3CDTF">2026-09-09T10:07:22Z</dcterms:modified>
</cp:coreProperties>
</file>