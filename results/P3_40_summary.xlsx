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nas Normais\cardosop\BPMN_Risk_Artigo\results\"/>
    </mc:Choice>
  </mc:AlternateContent>
  <xr:revisionPtr revIDLastSave="0" documentId="13_ncr:1_{2D599DBF-2403-4F37-9858-B94C6C4A3647}" xr6:coauthVersionLast="47" xr6:coauthVersionMax="47" xr10:uidLastSave="{00000000-0000-0000-0000-000000000000}"/>
  <bookViews>
    <workbookView xWindow="-120" yWindow="-120" windowWidth="29040" windowHeight="15840" xr2:uid="{C5125905-2102-4D18-B8FD-4457F3310F42}"/>
  </bookViews>
  <sheets>
    <sheet name="P3_40_summary" sheetId="1" r:id="rId1"/>
  </sheets>
  <calcPr calcId="0"/>
</workbook>
</file>

<file path=xl/calcChain.xml><?xml version="1.0" encoding="utf-8"?>
<calcChain xmlns="http://schemas.openxmlformats.org/spreadsheetml/2006/main">
  <c r="V5" i="1" l="1"/>
  <c r="W5" i="1"/>
  <c r="W2" i="1"/>
  <c r="V2" i="1"/>
  <c r="AB2" i="1"/>
  <c r="AA2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2" i="1"/>
</calcChain>
</file>

<file path=xl/sharedStrings.xml><?xml version="1.0" encoding="utf-8"?>
<sst xmlns="http://schemas.openxmlformats.org/spreadsheetml/2006/main" count="118" uniqueCount="53">
  <si>
    <t>Name</t>
  </si>
  <si>
    <t>ExecutTime</t>
  </si>
  <si>
    <t>StabIt</t>
  </si>
  <si>
    <t>TotalIt</t>
  </si>
  <si>
    <t>#Participants</t>
  </si>
  <si>
    <t>#MutNodes</t>
  </si>
  <si>
    <t>#Nodes</t>
  </si>
  <si>
    <t>#Splits</t>
  </si>
  <si>
    <t>Init#Comms</t>
  </si>
  <si>
    <t>Optimal#Comms</t>
  </si>
  <si>
    <t>#OptimalSols</t>
  </si>
  <si>
    <t>InitRisk</t>
  </si>
  <si>
    <t>InitCost</t>
  </si>
  <si>
    <t>OptimalRisk</t>
  </si>
  <si>
    <t>OptimalCost</t>
  </si>
  <si>
    <t>#Configs</t>
  </si>
  <si>
    <t>RiskDist</t>
  </si>
  <si>
    <t>CostDist</t>
  </si>
  <si>
    <t>MonetaryTradeoff</t>
  </si>
  <si>
    <t>P3_40_1</t>
  </si>
  <si>
    <t>P3_40_10</t>
  </si>
  <si>
    <t>P3_40_11</t>
  </si>
  <si>
    <t>P3_40_12</t>
  </si>
  <si>
    <t>P3_40_13</t>
  </si>
  <si>
    <t>P3_40_14</t>
  </si>
  <si>
    <t>P3_40_15</t>
  </si>
  <si>
    <t>P3_40_16</t>
  </si>
  <si>
    <t>P3_40_17</t>
  </si>
  <si>
    <t>P3_40_18</t>
  </si>
  <si>
    <t>P3_40_19</t>
  </si>
  <si>
    <t>P3_40_2</t>
  </si>
  <si>
    <t>P3_40_20</t>
  </si>
  <si>
    <t>P3_40_21</t>
  </si>
  <si>
    <t>P3_40_22</t>
  </si>
  <si>
    <t>P3_40_23</t>
  </si>
  <si>
    <t>P3_40_24</t>
  </si>
  <si>
    <t>P3_40_25</t>
  </si>
  <si>
    <t>P3_40_26</t>
  </si>
  <si>
    <t>P3_40_27</t>
  </si>
  <si>
    <t>P3_40_28</t>
  </si>
  <si>
    <t>P3_40_29</t>
  </si>
  <si>
    <t>P3_40_3</t>
  </si>
  <si>
    <t>P3_40_30</t>
  </si>
  <si>
    <t>P3_40_4</t>
  </si>
  <si>
    <t>P3_40_5</t>
  </si>
  <si>
    <t>P3_40_6</t>
  </si>
  <si>
    <t>P3_40_7</t>
  </si>
  <si>
    <t>P3_40_8</t>
  </si>
  <si>
    <t>P3_40_9</t>
  </si>
  <si>
    <t>Desvio padrão</t>
  </si>
  <si>
    <t>2 sols</t>
  </si>
  <si>
    <t>3+ sols</t>
  </si>
  <si>
    <t>Média de tempos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</si>
</sst>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9689-716A-4D43-9F4A-46CBF0265101}">
  <dimension ref="A1:AB96"/>
  <sheetViews>
    <sheetView tabSelected="1" workbookViewId="0">
      <selection activeCell="Y2" sqref="Y2"/>
    </sheetView>
  </sheetViews>
  <sheetFormatPr defaultRowHeight="15" x14ac:dyDescent="0.25"/>
  <cols>
    <col min="10" max="10" width="16" bestFit="1" customWidth="1"/>
    <col min="22" max="22" width="16.140625" bestFit="1" customWidth="1"/>
    <col min="23" max="23" width="13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50</v>
      </c>
      <c r="W1" t="s">
        <v>51</v>
      </c>
    </row>
    <row r="2" spans="1:28" x14ac:dyDescent="0.25">
      <c r="A2" t="s">
        <v>19</v>
      </c>
      <c r="B2">
        <v>92137</v>
      </c>
      <c r="C2">
        <v>1</v>
      </c>
      <c r="D2">
        <v>138143</v>
      </c>
      <c r="E2">
        <v>3</v>
      </c>
      <c r="F2">
        <v>40</v>
      </c>
      <c r="G2">
        <v>158</v>
      </c>
      <c r="H2">
        <v>3</v>
      </c>
      <c r="I2">
        <v>186</v>
      </c>
      <c r="J2">
        <v>186</v>
      </c>
      <c r="K2">
        <v>1</v>
      </c>
      <c r="L2">
        <v>9787.9367246354996</v>
      </c>
      <c r="M2">
        <v>721.43379099999902</v>
      </c>
      <c r="N2">
        <v>9787.9367246354996</v>
      </c>
      <c r="O2">
        <v>721.43379099999902</v>
      </c>
      <c r="P2">
        <v>1</v>
      </c>
      <c r="Q2">
        <v>0</v>
      </c>
      <c r="R2">
        <v>0</v>
      </c>
      <c r="S2">
        <v>0</v>
      </c>
      <c r="V2">
        <f>8/30</f>
        <v>0.26666666666666666</v>
      </c>
      <c r="W2">
        <f>16/30</f>
        <v>0.53333333333333333</v>
      </c>
      <c r="Y2">
        <f>G2+I2-F2</f>
        <v>304</v>
      </c>
      <c r="Z2">
        <f>SMALL(Y2:Y96,1)</f>
        <v>120</v>
      </c>
      <c r="AA2">
        <f>LARGE(Y2:Y96,1)</f>
        <v>319</v>
      </c>
      <c r="AB2">
        <f>MEDIAN(Y2,Y3,Y7,Y10,Y12,Y23,Y26,Y28,Y30,Y32,Y36,Y38,Y40,Y46,Y50,Y51,Y54,Y57,Y61,Y65,Y69,Y76,Y78,Y83,Y87,Y88,Y93,Y94,Y95)</f>
        <v>203</v>
      </c>
    </row>
    <row r="3" spans="1:28" x14ac:dyDescent="0.25">
      <c r="A3" t="s">
        <v>20</v>
      </c>
      <c r="B3">
        <v>55243</v>
      </c>
      <c r="C3">
        <v>105446</v>
      </c>
      <c r="D3">
        <v>138143</v>
      </c>
      <c r="E3">
        <v>3</v>
      </c>
      <c r="F3">
        <v>40</v>
      </c>
      <c r="G3">
        <v>107</v>
      </c>
      <c r="H3">
        <v>6</v>
      </c>
      <c r="I3">
        <v>102</v>
      </c>
      <c r="J3">
        <v>102</v>
      </c>
      <c r="K3">
        <v>4</v>
      </c>
      <c r="L3">
        <v>25551.092453057499</v>
      </c>
      <c r="M3">
        <v>785.54843899999901</v>
      </c>
      <c r="N3">
        <v>25551.092453057499</v>
      </c>
      <c r="O3">
        <v>785.54843899999901</v>
      </c>
      <c r="P3">
        <v>2</v>
      </c>
      <c r="Q3">
        <v>0</v>
      </c>
      <c r="R3">
        <v>0</v>
      </c>
      <c r="S3">
        <v>0</v>
      </c>
      <c r="Y3">
        <f t="shared" ref="Y3:Y66" si="0">G3+I3-F3</f>
        <v>169</v>
      </c>
    </row>
    <row r="4" spans="1:28" x14ac:dyDescent="0.25">
      <c r="A4" t="s">
        <v>20</v>
      </c>
      <c r="B4">
        <v>55243</v>
      </c>
      <c r="C4">
        <v>105446</v>
      </c>
      <c r="D4">
        <v>138143</v>
      </c>
      <c r="E4">
        <v>3</v>
      </c>
      <c r="F4">
        <v>40</v>
      </c>
      <c r="G4">
        <v>107</v>
      </c>
      <c r="H4">
        <v>6</v>
      </c>
      <c r="I4">
        <v>102</v>
      </c>
      <c r="J4">
        <v>128</v>
      </c>
      <c r="K4">
        <v>4</v>
      </c>
      <c r="L4">
        <v>25551.092453057499</v>
      </c>
      <c r="M4">
        <v>785.54843899999901</v>
      </c>
      <c r="N4">
        <v>25544.6407173158</v>
      </c>
      <c r="O4">
        <v>892.82854799999905</v>
      </c>
      <c r="P4">
        <v>1</v>
      </c>
      <c r="Q4" s="1">
        <v>2.4277357291102499E-4</v>
      </c>
      <c r="R4">
        <v>0.105644578792104</v>
      </c>
      <c r="S4" s="1">
        <v>-2.4277357291102499E-4</v>
      </c>
      <c r="V4" t="s">
        <v>52</v>
      </c>
      <c r="W4" t="s">
        <v>49</v>
      </c>
      <c r="Y4">
        <f t="shared" si="0"/>
        <v>169</v>
      </c>
    </row>
    <row r="5" spans="1:28" x14ac:dyDescent="0.25">
      <c r="A5" t="s">
        <v>20</v>
      </c>
      <c r="B5">
        <v>55243</v>
      </c>
      <c r="C5">
        <v>105446</v>
      </c>
      <c r="D5">
        <v>138143</v>
      </c>
      <c r="E5">
        <v>3</v>
      </c>
      <c r="F5">
        <v>40</v>
      </c>
      <c r="G5">
        <v>107</v>
      </c>
      <c r="H5">
        <v>6</v>
      </c>
      <c r="I5">
        <v>102</v>
      </c>
      <c r="J5">
        <v>138</v>
      </c>
      <c r="K5">
        <v>4</v>
      </c>
      <c r="L5">
        <v>25551.092453057499</v>
      </c>
      <c r="M5">
        <v>785.54843899999901</v>
      </c>
      <c r="N5">
        <v>25524.813618033299</v>
      </c>
      <c r="O5">
        <v>908.33362199999897</v>
      </c>
      <c r="P5">
        <v>2</v>
      </c>
      <c r="Q5" s="1">
        <v>7.4607763337053402E-4</v>
      </c>
      <c r="R5">
        <v>1.52686926508475E-2</v>
      </c>
      <c r="S5">
        <v>0.10465572758582301</v>
      </c>
      <c r="V5">
        <f>SUM(B2,B3,B7,B10,B12,B23,B26,B28,B30,B32,B36,B38,B40,B46,B50,B51,B54,B57,B61,B65,B69,B76,B78,B82,B83,B87,B88,B93,B94,B96)/30</f>
        <v>63424.333333333336</v>
      </c>
      <c r="W5">
        <f>_xlfn.STDEV.P(B2,B3,B7,B10,B12,B23,B26,B28,B30,B32,B36,B38,B40,B46,B50,B51,B54,B57,B61,B65,B69,B76,B78,B82,B83,B87,B88,B93,B94,B96)</f>
        <v>15936.331690685771</v>
      </c>
      <c r="Y5">
        <f t="shared" si="0"/>
        <v>169</v>
      </c>
    </row>
    <row r="6" spans="1:28" x14ac:dyDescent="0.25">
      <c r="A6" t="s">
        <v>20</v>
      </c>
      <c r="B6">
        <v>55243</v>
      </c>
      <c r="C6">
        <v>105446</v>
      </c>
      <c r="D6">
        <v>138143</v>
      </c>
      <c r="E6">
        <v>3</v>
      </c>
      <c r="F6">
        <v>40</v>
      </c>
      <c r="G6">
        <v>107</v>
      </c>
      <c r="H6">
        <v>6</v>
      </c>
      <c r="I6">
        <v>102</v>
      </c>
      <c r="J6">
        <v>136</v>
      </c>
      <c r="K6">
        <v>4</v>
      </c>
      <c r="L6">
        <v>25551.092453057499</v>
      </c>
      <c r="M6">
        <v>785.54843899999901</v>
      </c>
      <c r="N6">
        <v>25507.148746109098</v>
      </c>
      <c r="O6">
        <v>920.10776599999895</v>
      </c>
      <c r="P6">
        <v>1</v>
      </c>
      <c r="Q6" s="1">
        <v>6.6471477502738597E-4</v>
      </c>
      <c r="R6">
        <v>1.15946422418118E-2</v>
      </c>
      <c r="S6">
        <v>0.119259705461643</v>
      </c>
      <c r="Y6">
        <f t="shared" si="0"/>
        <v>169</v>
      </c>
    </row>
    <row r="7" spans="1:28" x14ac:dyDescent="0.25">
      <c r="A7" t="s">
        <v>21</v>
      </c>
      <c r="B7">
        <v>81718</v>
      </c>
      <c r="C7">
        <v>64265</v>
      </c>
      <c r="D7">
        <v>138143</v>
      </c>
      <c r="E7">
        <v>3</v>
      </c>
      <c r="F7">
        <v>40</v>
      </c>
      <c r="G7">
        <v>152</v>
      </c>
      <c r="H7">
        <v>4</v>
      </c>
      <c r="I7">
        <v>160</v>
      </c>
      <c r="J7">
        <v>160</v>
      </c>
      <c r="K7">
        <v>3</v>
      </c>
      <c r="L7">
        <v>23783.949294340498</v>
      </c>
      <c r="M7">
        <v>1453.3378680000001</v>
      </c>
      <c r="N7">
        <v>23783.949294340498</v>
      </c>
      <c r="O7">
        <v>1453.3378680000001</v>
      </c>
      <c r="P7">
        <v>1</v>
      </c>
      <c r="Q7">
        <v>0</v>
      </c>
      <c r="R7">
        <v>0</v>
      </c>
      <c r="S7">
        <v>0</v>
      </c>
      <c r="Y7">
        <f t="shared" si="0"/>
        <v>272</v>
      </c>
    </row>
    <row r="8" spans="1:28" x14ac:dyDescent="0.25">
      <c r="A8" t="s">
        <v>21</v>
      </c>
      <c r="B8">
        <v>81718</v>
      </c>
      <c r="C8">
        <v>64265</v>
      </c>
      <c r="D8">
        <v>138143</v>
      </c>
      <c r="E8">
        <v>3</v>
      </c>
      <c r="F8">
        <v>40</v>
      </c>
      <c r="G8">
        <v>152</v>
      </c>
      <c r="H8">
        <v>4</v>
      </c>
      <c r="I8">
        <v>160</v>
      </c>
      <c r="J8">
        <v>172</v>
      </c>
      <c r="K8">
        <v>3</v>
      </c>
      <c r="L8">
        <v>23783.949294340498</v>
      </c>
      <c r="M8">
        <v>1453.3378680000001</v>
      </c>
      <c r="N8">
        <v>23779.326101291899</v>
      </c>
      <c r="O8">
        <v>1460.691151</v>
      </c>
      <c r="P8">
        <v>5</v>
      </c>
      <c r="Q8" s="1">
        <v>1.6651259394306799E-4</v>
      </c>
      <c r="R8">
        <v>4.8081367328836003E-3</v>
      </c>
      <c r="S8" s="1">
        <v>-1.6651259394306799E-4</v>
      </c>
      <c r="Y8">
        <f t="shared" si="0"/>
        <v>272</v>
      </c>
    </row>
    <row r="9" spans="1:28" x14ac:dyDescent="0.25">
      <c r="A9" t="s">
        <v>21</v>
      </c>
      <c r="B9">
        <v>81718</v>
      </c>
      <c r="C9">
        <v>64265</v>
      </c>
      <c r="D9">
        <v>138143</v>
      </c>
      <c r="E9">
        <v>3</v>
      </c>
      <c r="F9">
        <v>40</v>
      </c>
      <c r="G9">
        <v>152</v>
      </c>
      <c r="H9">
        <v>4</v>
      </c>
      <c r="I9">
        <v>160</v>
      </c>
      <c r="J9">
        <v>196</v>
      </c>
      <c r="K9">
        <v>3</v>
      </c>
      <c r="L9">
        <v>23783.949294340498</v>
      </c>
      <c r="M9">
        <v>1453.3378680000001</v>
      </c>
      <c r="N9">
        <v>23720.4576561787</v>
      </c>
      <c r="O9">
        <v>1461.1002020000001</v>
      </c>
      <c r="P9">
        <v>6</v>
      </c>
      <c r="Q9">
        <v>2.1202526898899099E-3</v>
      </c>
      <c r="R9" s="1">
        <v>2.67468712780716E-4</v>
      </c>
      <c r="S9">
        <v>2.5213714490506202E-3</v>
      </c>
      <c r="Y9">
        <f t="shared" si="0"/>
        <v>272</v>
      </c>
    </row>
    <row r="10" spans="1:28" x14ac:dyDescent="0.25">
      <c r="A10" t="s">
        <v>22</v>
      </c>
      <c r="B10">
        <v>36746</v>
      </c>
      <c r="C10">
        <v>96833</v>
      </c>
      <c r="D10">
        <v>138143</v>
      </c>
      <c r="E10">
        <v>3</v>
      </c>
      <c r="F10">
        <v>40</v>
      </c>
      <c r="G10">
        <v>80</v>
      </c>
      <c r="H10">
        <v>5</v>
      </c>
      <c r="I10">
        <v>80</v>
      </c>
      <c r="J10">
        <v>80</v>
      </c>
      <c r="K10">
        <v>2</v>
      </c>
      <c r="L10">
        <v>17707.363554433901</v>
      </c>
      <c r="M10">
        <v>652.929258</v>
      </c>
      <c r="N10">
        <v>17707.363554433901</v>
      </c>
      <c r="O10">
        <v>652.929258</v>
      </c>
      <c r="P10">
        <v>1</v>
      </c>
      <c r="Q10">
        <v>0</v>
      </c>
      <c r="R10">
        <v>0</v>
      </c>
      <c r="S10">
        <v>0</v>
      </c>
      <c r="Y10">
        <f t="shared" si="0"/>
        <v>120</v>
      </c>
    </row>
    <row r="11" spans="1:28" x14ac:dyDescent="0.25">
      <c r="A11" t="s">
        <v>22</v>
      </c>
      <c r="B11">
        <v>36746</v>
      </c>
      <c r="C11">
        <v>96833</v>
      </c>
      <c r="D11">
        <v>138143</v>
      </c>
      <c r="E11">
        <v>3</v>
      </c>
      <c r="F11">
        <v>40</v>
      </c>
      <c r="G11">
        <v>80</v>
      </c>
      <c r="H11">
        <v>5</v>
      </c>
      <c r="I11">
        <v>80</v>
      </c>
      <c r="J11">
        <v>80</v>
      </c>
      <c r="K11">
        <v>2</v>
      </c>
      <c r="L11">
        <v>17707.363554433901</v>
      </c>
      <c r="M11">
        <v>652.929258</v>
      </c>
      <c r="N11">
        <v>17253.6938267234</v>
      </c>
      <c r="O11">
        <v>711.97218899999996</v>
      </c>
      <c r="P11">
        <v>2</v>
      </c>
      <c r="Q11">
        <v>1.69048377992362E-2</v>
      </c>
      <c r="R11">
        <v>5.9157153287968701E-2</v>
      </c>
      <c r="S11">
        <v>-1.69048377992362E-2</v>
      </c>
      <c r="Y11">
        <f t="shared" si="0"/>
        <v>120</v>
      </c>
    </row>
    <row r="12" spans="1:28" x14ac:dyDescent="0.25">
      <c r="A12" t="s">
        <v>23</v>
      </c>
      <c r="B12">
        <v>55216</v>
      </c>
      <c r="C12">
        <v>135551</v>
      </c>
      <c r="D12">
        <v>138143</v>
      </c>
      <c r="E12">
        <v>3</v>
      </c>
      <c r="F12">
        <v>40</v>
      </c>
      <c r="G12">
        <v>114</v>
      </c>
      <c r="H12">
        <v>7</v>
      </c>
      <c r="I12">
        <v>124</v>
      </c>
      <c r="J12">
        <v>124</v>
      </c>
      <c r="K12">
        <v>11</v>
      </c>
      <c r="L12">
        <v>5733.2366888025399</v>
      </c>
      <c r="M12">
        <v>523.83640700000001</v>
      </c>
      <c r="N12">
        <v>5733.2366888025399</v>
      </c>
      <c r="O12">
        <v>523.83640700000001</v>
      </c>
      <c r="P12">
        <v>1</v>
      </c>
      <c r="Q12">
        <v>0</v>
      </c>
      <c r="R12">
        <v>0</v>
      </c>
      <c r="S12">
        <v>0</v>
      </c>
      <c r="Y12">
        <f t="shared" si="0"/>
        <v>198</v>
      </c>
    </row>
    <row r="13" spans="1:28" x14ac:dyDescent="0.25">
      <c r="A13" t="s">
        <v>23</v>
      </c>
      <c r="B13">
        <v>55216</v>
      </c>
      <c r="C13">
        <v>135551</v>
      </c>
      <c r="D13">
        <v>138143</v>
      </c>
      <c r="E13">
        <v>3</v>
      </c>
      <c r="F13">
        <v>40</v>
      </c>
      <c r="G13">
        <v>114</v>
      </c>
      <c r="H13">
        <v>7</v>
      </c>
      <c r="I13">
        <v>124</v>
      </c>
      <c r="J13">
        <v>140</v>
      </c>
      <c r="K13">
        <v>11</v>
      </c>
      <c r="L13">
        <v>5733.2366888025399</v>
      </c>
      <c r="M13">
        <v>523.83640700000001</v>
      </c>
      <c r="N13">
        <v>5256.8301444941499</v>
      </c>
      <c r="O13">
        <v>534.06888199999901</v>
      </c>
      <c r="P13">
        <v>2</v>
      </c>
      <c r="Q13">
        <v>1.7654090337609299E-2</v>
      </c>
      <c r="R13">
        <v>8.8105585806012004E-3</v>
      </c>
      <c r="S13">
        <v>-1.7654090337609299E-2</v>
      </c>
      <c r="Y13">
        <f t="shared" si="0"/>
        <v>198</v>
      </c>
    </row>
    <row r="14" spans="1:28" x14ac:dyDescent="0.25">
      <c r="A14" t="s">
        <v>23</v>
      </c>
      <c r="B14">
        <v>55216</v>
      </c>
      <c r="C14">
        <v>135551</v>
      </c>
      <c r="D14">
        <v>138143</v>
      </c>
      <c r="E14">
        <v>3</v>
      </c>
      <c r="F14">
        <v>40</v>
      </c>
      <c r="G14">
        <v>114</v>
      </c>
      <c r="H14">
        <v>7</v>
      </c>
      <c r="I14">
        <v>124</v>
      </c>
      <c r="J14">
        <v>138</v>
      </c>
      <c r="K14">
        <v>11</v>
      </c>
      <c r="L14">
        <v>5733.2366888025399</v>
      </c>
      <c r="M14">
        <v>523.83640700000001</v>
      </c>
      <c r="N14">
        <v>5253.7323055403403</v>
      </c>
      <c r="O14">
        <v>542.16496199999995</v>
      </c>
      <c r="P14">
        <v>1</v>
      </c>
      <c r="Q14" s="1">
        <v>1.14795922506488E-4</v>
      </c>
      <c r="R14">
        <v>6.9710394712163498E-3</v>
      </c>
      <c r="S14">
        <v>-8.9583276795146792E-3</v>
      </c>
      <c r="Y14">
        <f t="shared" si="0"/>
        <v>198</v>
      </c>
    </row>
    <row r="15" spans="1:28" x14ac:dyDescent="0.25">
      <c r="A15" t="s">
        <v>23</v>
      </c>
      <c r="B15">
        <v>55216</v>
      </c>
      <c r="C15">
        <v>135551</v>
      </c>
      <c r="D15">
        <v>138143</v>
      </c>
      <c r="E15">
        <v>3</v>
      </c>
      <c r="F15">
        <v>40</v>
      </c>
      <c r="G15">
        <v>114</v>
      </c>
      <c r="H15">
        <v>7</v>
      </c>
      <c r="I15">
        <v>124</v>
      </c>
      <c r="J15">
        <v>134</v>
      </c>
      <c r="K15">
        <v>11</v>
      </c>
      <c r="L15">
        <v>5733.2366888025399</v>
      </c>
      <c r="M15">
        <v>523.83640700000001</v>
      </c>
      <c r="N15">
        <v>5234.0461495298596</v>
      </c>
      <c r="O15">
        <v>546.21691499999997</v>
      </c>
      <c r="P15">
        <v>1</v>
      </c>
      <c r="Q15" s="1">
        <v>7.2950546284755702E-4</v>
      </c>
      <c r="R15">
        <v>3.48888898065663E-3</v>
      </c>
      <c r="S15">
        <v>-2.7167936711458801E-3</v>
      </c>
      <c r="Y15">
        <f t="shared" si="0"/>
        <v>198</v>
      </c>
    </row>
    <row r="16" spans="1:28" x14ac:dyDescent="0.25">
      <c r="A16" t="s">
        <v>23</v>
      </c>
      <c r="B16">
        <v>55216</v>
      </c>
      <c r="C16">
        <v>135551</v>
      </c>
      <c r="D16">
        <v>138143</v>
      </c>
      <c r="E16">
        <v>3</v>
      </c>
      <c r="F16">
        <v>40</v>
      </c>
      <c r="G16">
        <v>114</v>
      </c>
      <c r="H16">
        <v>7</v>
      </c>
      <c r="I16">
        <v>124</v>
      </c>
      <c r="J16">
        <v>138</v>
      </c>
      <c r="K16">
        <v>11</v>
      </c>
      <c r="L16">
        <v>5733.2366888025399</v>
      </c>
      <c r="M16">
        <v>523.83640700000001</v>
      </c>
      <c r="N16">
        <v>5186.4161350838403</v>
      </c>
      <c r="O16">
        <v>551.652108</v>
      </c>
      <c r="P16">
        <v>5</v>
      </c>
      <c r="Q16">
        <v>1.76501475023263E-3</v>
      </c>
      <c r="R16">
        <v>4.67991236952675E-3</v>
      </c>
      <c r="S16" s="1">
        <v>-9.9291944072188399E-4</v>
      </c>
      <c r="Y16">
        <f t="shared" si="0"/>
        <v>198</v>
      </c>
    </row>
    <row r="17" spans="1:25" x14ac:dyDescent="0.25">
      <c r="A17" t="s">
        <v>23</v>
      </c>
      <c r="B17">
        <v>55216</v>
      </c>
      <c r="C17">
        <v>135551</v>
      </c>
      <c r="D17">
        <v>138143</v>
      </c>
      <c r="E17">
        <v>3</v>
      </c>
      <c r="F17">
        <v>40</v>
      </c>
      <c r="G17">
        <v>114</v>
      </c>
      <c r="H17">
        <v>7</v>
      </c>
      <c r="I17">
        <v>124</v>
      </c>
      <c r="J17">
        <v>128</v>
      </c>
      <c r="K17">
        <v>11</v>
      </c>
      <c r="L17">
        <v>5733.2366888025399</v>
      </c>
      <c r="M17">
        <v>523.83640700000001</v>
      </c>
      <c r="N17">
        <v>5096.09780087118</v>
      </c>
      <c r="O17">
        <v>558.003107</v>
      </c>
      <c r="P17">
        <v>5</v>
      </c>
      <c r="Q17">
        <v>3.3469062303655901E-3</v>
      </c>
      <c r="R17">
        <v>5.4684569212082304E-3</v>
      </c>
      <c r="S17" s="1">
        <v>3.4008669843926798E-4</v>
      </c>
      <c r="Y17">
        <f t="shared" si="0"/>
        <v>198</v>
      </c>
    </row>
    <row r="18" spans="1:25" x14ac:dyDescent="0.25">
      <c r="A18" t="s">
        <v>23</v>
      </c>
      <c r="B18">
        <v>55216</v>
      </c>
      <c r="C18">
        <v>135551</v>
      </c>
      <c r="D18">
        <v>138143</v>
      </c>
      <c r="E18">
        <v>3</v>
      </c>
      <c r="F18">
        <v>40</v>
      </c>
      <c r="G18">
        <v>114</v>
      </c>
      <c r="H18">
        <v>7</v>
      </c>
      <c r="I18">
        <v>124</v>
      </c>
      <c r="J18">
        <v>144</v>
      </c>
      <c r="K18">
        <v>11</v>
      </c>
      <c r="L18">
        <v>5733.2366888025399</v>
      </c>
      <c r="M18">
        <v>523.83640700000001</v>
      </c>
      <c r="N18">
        <v>5091.8621598109503</v>
      </c>
      <c r="O18">
        <v>567.12185899999997</v>
      </c>
      <c r="P18">
        <v>3</v>
      </c>
      <c r="Q18" s="1">
        <v>1.56959199675704E-4</v>
      </c>
      <c r="R18">
        <v>7.8515998014141997E-3</v>
      </c>
      <c r="S18">
        <v>5.6515844199717903E-3</v>
      </c>
      <c r="Y18">
        <f t="shared" si="0"/>
        <v>198</v>
      </c>
    </row>
    <row r="19" spans="1:25" x14ac:dyDescent="0.25">
      <c r="A19" t="s">
        <v>23</v>
      </c>
      <c r="B19">
        <v>55216</v>
      </c>
      <c r="C19">
        <v>135551</v>
      </c>
      <c r="D19">
        <v>138143</v>
      </c>
      <c r="E19">
        <v>3</v>
      </c>
      <c r="F19">
        <v>40</v>
      </c>
      <c r="G19">
        <v>114</v>
      </c>
      <c r="H19">
        <v>7</v>
      </c>
      <c r="I19">
        <v>124</v>
      </c>
      <c r="J19">
        <v>142</v>
      </c>
      <c r="K19">
        <v>11</v>
      </c>
      <c r="L19">
        <v>5733.2366888025399</v>
      </c>
      <c r="M19">
        <v>523.83640700000001</v>
      </c>
      <c r="N19">
        <v>5047.5418229860097</v>
      </c>
      <c r="O19">
        <v>569.38505299999997</v>
      </c>
      <c r="P19">
        <v>1</v>
      </c>
      <c r="Q19">
        <v>1.64236876980108E-3</v>
      </c>
      <c r="R19">
        <v>1.9486979754423301E-3</v>
      </c>
      <c r="S19">
        <v>1.18608154515849E-2</v>
      </c>
      <c r="Y19">
        <f t="shared" si="0"/>
        <v>198</v>
      </c>
    </row>
    <row r="20" spans="1:25" x14ac:dyDescent="0.25">
      <c r="A20" t="s">
        <v>23</v>
      </c>
      <c r="B20">
        <v>55216</v>
      </c>
      <c r="C20">
        <v>135551</v>
      </c>
      <c r="D20">
        <v>138143</v>
      </c>
      <c r="E20">
        <v>3</v>
      </c>
      <c r="F20">
        <v>40</v>
      </c>
      <c r="G20">
        <v>114</v>
      </c>
      <c r="H20">
        <v>7</v>
      </c>
      <c r="I20">
        <v>124</v>
      </c>
      <c r="J20">
        <v>142</v>
      </c>
      <c r="K20">
        <v>11</v>
      </c>
      <c r="L20">
        <v>5733.2366888025399</v>
      </c>
      <c r="M20">
        <v>523.83640700000001</v>
      </c>
      <c r="N20">
        <v>5027.6892223252798</v>
      </c>
      <c r="O20">
        <v>574.14380400000005</v>
      </c>
      <c r="P20">
        <v>2</v>
      </c>
      <c r="Q20" s="1">
        <v>7.35673364877259E-4</v>
      </c>
      <c r="R20">
        <v>4.0974695228667103E-3</v>
      </c>
      <c r="S20">
        <v>1.30738400621499E-2</v>
      </c>
      <c r="Y20">
        <f t="shared" si="0"/>
        <v>198</v>
      </c>
    </row>
    <row r="21" spans="1:25" x14ac:dyDescent="0.25">
      <c r="A21" t="s">
        <v>23</v>
      </c>
      <c r="B21">
        <v>55216</v>
      </c>
      <c r="C21">
        <v>135551</v>
      </c>
      <c r="D21">
        <v>138143</v>
      </c>
      <c r="E21">
        <v>3</v>
      </c>
      <c r="F21">
        <v>40</v>
      </c>
      <c r="G21">
        <v>114</v>
      </c>
      <c r="H21">
        <v>7</v>
      </c>
      <c r="I21">
        <v>124</v>
      </c>
      <c r="J21">
        <v>142</v>
      </c>
      <c r="K21">
        <v>11</v>
      </c>
      <c r="L21">
        <v>5733.2366888025399</v>
      </c>
      <c r="M21">
        <v>523.83640700000001</v>
      </c>
      <c r="N21">
        <v>5017.8425057698796</v>
      </c>
      <c r="O21">
        <v>579.11451999999997</v>
      </c>
      <c r="P21">
        <v>1</v>
      </c>
      <c r="Q21" s="1">
        <v>3.6488756436026099E-4</v>
      </c>
      <c r="R21">
        <v>4.2799796242386501E-3</v>
      </c>
      <c r="S21">
        <v>1.6806422020656402E-2</v>
      </c>
      <c r="Y21">
        <f t="shared" si="0"/>
        <v>198</v>
      </c>
    </row>
    <row r="22" spans="1:25" x14ac:dyDescent="0.25">
      <c r="A22" t="s">
        <v>23</v>
      </c>
      <c r="B22">
        <v>55216</v>
      </c>
      <c r="C22">
        <v>135551</v>
      </c>
      <c r="D22">
        <v>138143</v>
      </c>
      <c r="E22">
        <v>3</v>
      </c>
      <c r="F22">
        <v>40</v>
      </c>
      <c r="G22">
        <v>114</v>
      </c>
      <c r="H22">
        <v>7</v>
      </c>
      <c r="I22">
        <v>124</v>
      </c>
      <c r="J22">
        <v>134</v>
      </c>
      <c r="K22">
        <v>11</v>
      </c>
      <c r="L22">
        <v>5733.2366888025399</v>
      </c>
      <c r="M22">
        <v>523.83640700000001</v>
      </c>
      <c r="N22">
        <v>5009.6755693888399</v>
      </c>
      <c r="O22">
        <v>597.64990999999998</v>
      </c>
      <c r="P22">
        <v>2</v>
      </c>
      <c r="Q22" s="1">
        <v>3.0264032762539103E-4</v>
      </c>
      <c r="R22">
        <v>1.5959691023852099E-2</v>
      </c>
      <c r="S22">
        <v>2.0783761317269601E-2</v>
      </c>
      <c r="Y22">
        <f t="shared" si="0"/>
        <v>198</v>
      </c>
    </row>
    <row r="23" spans="1:25" x14ac:dyDescent="0.25">
      <c r="A23" t="s">
        <v>24</v>
      </c>
      <c r="B23">
        <v>53979</v>
      </c>
      <c r="C23">
        <v>128672</v>
      </c>
      <c r="D23">
        <v>138143</v>
      </c>
      <c r="E23">
        <v>3</v>
      </c>
      <c r="F23">
        <v>40</v>
      </c>
      <c r="G23">
        <v>96</v>
      </c>
      <c r="H23">
        <v>3</v>
      </c>
      <c r="I23">
        <v>104</v>
      </c>
      <c r="J23">
        <v>102</v>
      </c>
      <c r="K23">
        <v>3</v>
      </c>
      <c r="L23">
        <v>11435.476691619</v>
      </c>
      <c r="M23">
        <v>871.51374299999895</v>
      </c>
      <c r="N23">
        <v>11435.476691619</v>
      </c>
      <c r="O23">
        <v>870.670650999999</v>
      </c>
      <c r="P23">
        <v>1</v>
      </c>
      <c r="Q23">
        <v>0</v>
      </c>
      <c r="R23">
        <v>0</v>
      </c>
      <c r="S23" s="1">
        <v>-8.7878069261237903E-4</v>
      </c>
      <c r="Y23">
        <f t="shared" si="0"/>
        <v>160</v>
      </c>
    </row>
    <row r="24" spans="1:25" x14ac:dyDescent="0.25">
      <c r="A24" t="s">
        <v>24</v>
      </c>
      <c r="B24">
        <v>53979</v>
      </c>
      <c r="C24">
        <v>128672</v>
      </c>
      <c r="D24">
        <v>138143</v>
      </c>
      <c r="E24">
        <v>3</v>
      </c>
      <c r="F24">
        <v>40</v>
      </c>
      <c r="G24">
        <v>96</v>
      </c>
      <c r="H24">
        <v>3</v>
      </c>
      <c r="I24">
        <v>104</v>
      </c>
      <c r="J24">
        <v>114</v>
      </c>
      <c r="K24">
        <v>3</v>
      </c>
      <c r="L24">
        <v>11435.476691619</v>
      </c>
      <c r="M24">
        <v>871.51374299999895</v>
      </c>
      <c r="N24">
        <v>10836.340597524</v>
      </c>
      <c r="O24">
        <v>892.46696499999905</v>
      </c>
      <c r="P24">
        <v>1</v>
      </c>
      <c r="Q24">
        <v>2.1638736890914601E-2</v>
      </c>
      <c r="R24">
        <v>2.27189676966668E-2</v>
      </c>
      <c r="S24">
        <v>-2.2517517583526901E-2</v>
      </c>
      <c r="Y24">
        <f t="shared" si="0"/>
        <v>160</v>
      </c>
    </row>
    <row r="25" spans="1:25" x14ac:dyDescent="0.25">
      <c r="A25" t="s">
        <v>24</v>
      </c>
      <c r="B25">
        <v>53979</v>
      </c>
      <c r="C25">
        <v>128672</v>
      </c>
      <c r="D25">
        <v>138143</v>
      </c>
      <c r="E25">
        <v>3</v>
      </c>
      <c r="F25">
        <v>40</v>
      </c>
      <c r="G25">
        <v>96</v>
      </c>
      <c r="H25">
        <v>3</v>
      </c>
      <c r="I25">
        <v>104</v>
      </c>
      <c r="J25">
        <v>124</v>
      </c>
      <c r="K25">
        <v>3</v>
      </c>
      <c r="L25">
        <v>11435.476691619</v>
      </c>
      <c r="M25">
        <v>871.51374299999895</v>
      </c>
      <c r="N25">
        <v>9769.84916126196</v>
      </c>
      <c r="O25">
        <v>957.03231500000004</v>
      </c>
      <c r="P25">
        <v>1</v>
      </c>
      <c r="Q25">
        <v>3.8518005864011398E-2</v>
      </c>
      <c r="R25">
        <v>6.7298447846456694E-2</v>
      </c>
      <c r="S25">
        <v>-3.8316555750871603E-2</v>
      </c>
      <c r="Y25">
        <f t="shared" si="0"/>
        <v>160</v>
      </c>
    </row>
    <row r="26" spans="1:25" x14ac:dyDescent="0.25">
      <c r="A26" t="s">
        <v>25</v>
      </c>
      <c r="B26">
        <v>103677</v>
      </c>
      <c r="C26">
        <v>11134</v>
      </c>
      <c r="D26">
        <v>138143</v>
      </c>
      <c r="E26">
        <v>3</v>
      </c>
      <c r="F26">
        <v>40</v>
      </c>
      <c r="G26">
        <v>173</v>
      </c>
      <c r="H26">
        <v>6</v>
      </c>
      <c r="I26">
        <v>186</v>
      </c>
      <c r="J26">
        <v>186</v>
      </c>
      <c r="K26">
        <v>2</v>
      </c>
      <c r="L26">
        <v>23369.984279200002</v>
      </c>
      <c r="M26">
        <v>1960.618052</v>
      </c>
      <c r="N26">
        <v>23369.984279200002</v>
      </c>
      <c r="O26">
        <v>1960.618052</v>
      </c>
      <c r="P26">
        <v>1</v>
      </c>
      <c r="Q26">
        <v>0</v>
      </c>
      <c r="R26">
        <v>0</v>
      </c>
      <c r="S26">
        <v>0</v>
      </c>
      <c r="Y26">
        <f t="shared" si="0"/>
        <v>319</v>
      </c>
    </row>
    <row r="27" spans="1:25" x14ac:dyDescent="0.25">
      <c r="A27" t="s">
        <v>25</v>
      </c>
      <c r="B27">
        <v>103677</v>
      </c>
      <c r="C27">
        <v>11134</v>
      </c>
      <c r="D27">
        <v>138143</v>
      </c>
      <c r="E27">
        <v>3</v>
      </c>
      <c r="F27">
        <v>40</v>
      </c>
      <c r="G27">
        <v>173</v>
      </c>
      <c r="H27">
        <v>6</v>
      </c>
      <c r="I27">
        <v>186</v>
      </c>
      <c r="J27">
        <v>204</v>
      </c>
      <c r="K27">
        <v>2</v>
      </c>
      <c r="L27">
        <v>23369.984279200002</v>
      </c>
      <c r="M27">
        <v>1960.618052</v>
      </c>
      <c r="N27">
        <v>23042.036312102999</v>
      </c>
      <c r="O27">
        <v>2028.383626</v>
      </c>
      <c r="P27">
        <v>1</v>
      </c>
      <c r="Q27">
        <v>1.1762845684425399E-2</v>
      </c>
      <c r="R27">
        <v>3.7804194151839797E-2</v>
      </c>
      <c r="S27">
        <v>-1.1762845684425399E-2</v>
      </c>
      <c r="Y27">
        <f t="shared" si="0"/>
        <v>319</v>
      </c>
    </row>
    <row r="28" spans="1:25" x14ac:dyDescent="0.25">
      <c r="A28" t="s">
        <v>26</v>
      </c>
      <c r="B28">
        <v>58499</v>
      </c>
      <c r="C28">
        <v>20330</v>
      </c>
      <c r="D28">
        <v>138143</v>
      </c>
      <c r="E28">
        <v>3</v>
      </c>
      <c r="F28">
        <v>40</v>
      </c>
      <c r="G28">
        <v>115</v>
      </c>
      <c r="H28">
        <v>5</v>
      </c>
      <c r="I28">
        <v>120</v>
      </c>
      <c r="J28">
        <v>120</v>
      </c>
      <c r="K28">
        <v>2</v>
      </c>
      <c r="L28">
        <v>9811.6829513872908</v>
      </c>
      <c r="M28">
        <v>1036.771473</v>
      </c>
      <c r="N28">
        <v>9811.6829513872908</v>
      </c>
      <c r="O28">
        <v>1036.771473</v>
      </c>
      <c r="P28">
        <v>1</v>
      </c>
      <c r="Q28">
        <v>0</v>
      </c>
      <c r="R28">
        <v>0</v>
      </c>
      <c r="S28">
        <v>0</v>
      </c>
      <c r="Y28">
        <f t="shared" si="0"/>
        <v>195</v>
      </c>
    </row>
    <row r="29" spans="1:25" x14ac:dyDescent="0.25">
      <c r="A29" t="s">
        <v>26</v>
      </c>
      <c r="B29">
        <v>58499</v>
      </c>
      <c r="C29">
        <v>20330</v>
      </c>
      <c r="D29">
        <v>138143</v>
      </c>
      <c r="E29">
        <v>3</v>
      </c>
      <c r="F29">
        <v>40</v>
      </c>
      <c r="G29">
        <v>115</v>
      </c>
      <c r="H29">
        <v>5</v>
      </c>
      <c r="I29">
        <v>120</v>
      </c>
      <c r="J29">
        <v>152</v>
      </c>
      <c r="K29">
        <v>2</v>
      </c>
      <c r="L29">
        <v>9811.6829513872908</v>
      </c>
      <c r="M29">
        <v>1036.771473</v>
      </c>
      <c r="N29">
        <v>9552.9076072244607</v>
      </c>
      <c r="O29">
        <v>1066.6995280000001</v>
      </c>
      <c r="P29">
        <v>1</v>
      </c>
      <c r="Q29">
        <v>9.4614212972930992E-3</v>
      </c>
      <c r="R29">
        <v>2.5724422711553199E-2</v>
      </c>
      <c r="S29">
        <v>-9.4614212972930992E-3</v>
      </c>
      <c r="Y29">
        <f t="shared" si="0"/>
        <v>195</v>
      </c>
    </row>
    <row r="30" spans="1:25" x14ac:dyDescent="0.25">
      <c r="A30" t="s">
        <v>27</v>
      </c>
      <c r="B30">
        <v>53940</v>
      </c>
      <c r="C30">
        <v>64749</v>
      </c>
      <c r="D30">
        <v>138143</v>
      </c>
      <c r="E30">
        <v>3</v>
      </c>
      <c r="F30">
        <v>40</v>
      </c>
      <c r="G30">
        <v>105</v>
      </c>
      <c r="H30">
        <v>5</v>
      </c>
      <c r="I30">
        <v>106</v>
      </c>
      <c r="J30">
        <v>138</v>
      </c>
      <c r="K30">
        <v>2</v>
      </c>
      <c r="L30">
        <v>7788.6785449716499</v>
      </c>
      <c r="M30">
        <v>374.15429499999999</v>
      </c>
      <c r="N30">
        <v>6186.2969704145298</v>
      </c>
      <c r="O30">
        <v>339.73307799999998</v>
      </c>
      <c r="P30">
        <v>13</v>
      </c>
      <c r="Q30">
        <v>0</v>
      </c>
      <c r="R30">
        <v>0</v>
      </c>
      <c r="S30">
        <v>-9.2796689286702205E-2</v>
      </c>
      <c r="Y30">
        <f t="shared" si="0"/>
        <v>171</v>
      </c>
    </row>
    <row r="31" spans="1:25" x14ac:dyDescent="0.25">
      <c r="A31" t="s">
        <v>27</v>
      </c>
      <c r="B31">
        <v>53940</v>
      </c>
      <c r="C31">
        <v>64749</v>
      </c>
      <c r="D31">
        <v>138143</v>
      </c>
      <c r="E31">
        <v>3</v>
      </c>
      <c r="F31">
        <v>40</v>
      </c>
      <c r="G31">
        <v>105</v>
      </c>
      <c r="H31">
        <v>5</v>
      </c>
      <c r="I31">
        <v>106</v>
      </c>
      <c r="J31">
        <v>126</v>
      </c>
      <c r="K31">
        <v>2</v>
      </c>
      <c r="L31">
        <v>7788.6785449716499</v>
      </c>
      <c r="M31">
        <v>374.15429499999999</v>
      </c>
      <c r="N31">
        <v>5439.3066832986297</v>
      </c>
      <c r="O31">
        <v>347.00172800000001</v>
      </c>
      <c r="P31">
        <v>13</v>
      </c>
      <c r="Q31">
        <v>2.7691665540117101E-2</v>
      </c>
      <c r="R31">
        <v>7.0519094296922404E-3</v>
      </c>
      <c r="S31">
        <v>-0.12048835482681899</v>
      </c>
      <c r="Y31">
        <f t="shared" si="0"/>
        <v>171</v>
      </c>
    </row>
    <row r="32" spans="1:25" x14ac:dyDescent="0.25">
      <c r="A32" t="s">
        <v>28</v>
      </c>
      <c r="B32">
        <v>41352</v>
      </c>
      <c r="C32">
        <v>123853</v>
      </c>
      <c r="D32">
        <v>138143</v>
      </c>
      <c r="E32">
        <v>3</v>
      </c>
      <c r="F32">
        <v>40</v>
      </c>
      <c r="G32">
        <v>89</v>
      </c>
      <c r="H32">
        <v>5</v>
      </c>
      <c r="I32">
        <v>88</v>
      </c>
      <c r="J32">
        <v>122</v>
      </c>
      <c r="K32">
        <v>4</v>
      </c>
      <c r="L32">
        <v>10676.722021399401</v>
      </c>
      <c r="M32">
        <v>275.30719399999998</v>
      </c>
      <c r="N32">
        <v>13063.522235733801</v>
      </c>
      <c r="O32">
        <v>273.68253600000003</v>
      </c>
      <c r="P32">
        <v>1</v>
      </c>
      <c r="Q32">
        <v>0</v>
      </c>
      <c r="R32">
        <v>0</v>
      </c>
      <c r="S32">
        <v>8.3702408504211998E-2</v>
      </c>
      <c r="Y32">
        <f t="shared" si="0"/>
        <v>137</v>
      </c>
    </row>
    <row r="33" spans="1:25" x14ac:dyDescent="0.25">
      <c r="A33" t="s">
        <v>28</v>
      </c>
      <c r="B33">
        <v>41352</v>
      </c>
      <c r="C33">
        <v>123853</v>
      </c>
      <c r="D33">
        <v>138143</v>
      </c>
      <c r="E33">
        <v>3</v>
      </c>
      <c r="F33">
        <v>40</v>
      </c>
      <c r="G33">
        <v>89</v>
      </c>
      <c r="H33">
        <v>5</v>
      </c>
      <c r="I33">
        <v>88</v>
      </c>
      <c r="J33">
        <v>112</v>
      </c>
      <c r="K33">
        <v>4</v>
      </c>
      <c r="L33">
        <v>10676.722021399401</v>
      </c>
      <c r="M33">
        <v>275.30719399999998</v>
      </c>
      <c r="N33">
        <v>12543.8251443481</v>
      </c>
      <c r="O33">
        <v>274.99618500000003</v>
      </c>
      <c r="P33">
        <v>3</v>
      </c>
      <c r="Q33">
        <v>1.8634596096887501E-2</v>
      </c>
      <c r="R33">
        <v>1.5203117595921E-3</v>
      </c>
      <c r="S33">
        <v>6.5067812407324399E-2</v>
      </c>
      <c r="Y33">
        <f t="shared" si="0"/>
        <v>137</v>
      </c>
    </row>
    <row r="34" spans="1:25" x14ac:dyDescent="0.25">
      <c r="A34" t="s">
        <v>28</v>
      </c>
      <c r="B34">
        <v>41352</v>
      </c>
      <c r="C34">
        <v>123853</v>
      </c>
      <c r="D34">
        <v>138143</v>
      </c>
      <c r="E34">
        <v>3</v>
      </c>
      <c r="F34">
        <v>40</v>
      </c>
      <c r="G34">
        <v>89</v>
      </c>
      <c r="H34">
        <v>5</v>
      </c>
      <c r="I34">
        <v>88</v>
      </c>
      <c r="J34">
        <v>88</v>
      </c>
      <c r="K34">
        <v>4</v>
      </c>
      <c r="L34">
        <v>10676.722021399401</v>
      </c>
      <c r="M34">
        <v>275.30719399999998</v>
      </c>
      <c r="N34">
        <v>10676.722021399401</v>
      </c>
      <c r="O34">
        <v>275.30719399999998</v>
      </c>
      <c r="P34">
        <v>2</v>
      </c>
      <c r="Q34">
        <v>6.6948060984163005E-2</v>
      </c>
      <c r="R34" s="1">
        <v>3.5993681724649697E-4</v>
      </c>
      <c r="S34" s="1">
        <v>-3.5993681724649697E-4</v>
      </c>
      <c r="Y34">
        <f t="shared" si="0"/>
        <v>137</v>
      </c>
    </row>
    <row r="35" spans="1:25" x14ac:dyDescent="0.25">
      <c r="A35" t="s">
        <v>28</v>
      </c>
      <c r="B35">
        <v>41352</v>
      </c>
      <c r="C35">
        <v>123853</v>
      </c>
      <c r="D35">
        <v>138143</v>
      </c>
      <c r="E35">
        <v>3</v>
      </c>
      <c r="F35">
        <v>40</v>
      </c>
      <c r="G35">
        <v>89</v>
      </c>
      <c r="H35">
        <v>5</v>
      </c>
      <c r="I35">
        <v>88</v>
      </c>
      <c r="J35">
        <v>102</v>
      </c>
      <c r="K35">
        <v>4</v>
      </c>
      <c r="L35">
        <v>10676.722021399401</v>
      </c>
      <c r="M35">
        <v>275.30719399999998</v>
      </c>
      <c r="N35">
        <v>10376.961238330199</v>
      </c>
      <c r="O35">
        <v>317.89124199999998</v>
      </c>
      <c r="P35">
        <v>1</v>
      </c>
      <c r="Q35">
        <v>1.0748417127539101E-2</v>
      </c>
      <c r="R35">
        <v>4.9283354187789397E-2</v>
      </c>
      <c r="S35">
        <v>-1.0748417127539101E-2</v>
      </c>
      <c r="Y35">
        <f t="shared" si="0"/>
        <v>137</v>
      </c>
    </row>
    <row r="36" spans="1:25" x14ac:dyDescent="0.25">
      <c r="A36" t="s">
        <v>29</v>
      </c>
      <c r="B36">
        <v>74581</v>
      </c>
      <c r="C36">
        <v>62908</v>
      </c>
      <c r="D36">
        <v>138143</v>
      </c>
      <c r="E36">
        <v>3</v>
      </c>
      <c r="F36">
        <v>40</v>
      </c>
      <c r="G36">
        <v>143</v>
      </c>
      <c r="H36">
        <v>5</v>
      </c>
      <c r="I36">
        <v>164</v>
      </c>
      <c r="J36">
        <v>182</v>
      </c>
      <c r="K36">
        <v>2</v>
      </c>
      <c r="L36">
        <v>11397.554066623199</v>
      </c>
      <c r="M36">
        <v>811.92595099999903</v>
      </c>
      <c r="N36">
        <v>10242.7749551497</v>
      </c>
      <c r="O36">
        <v>778.510210999999</v>
      </c>
      <c r="P36">
        <v>3</v>
      </c>
      <c r="Q36">
        <v>0</v>
      </c>
      <c r="R36">
        <v>0</v>
      </c>
      <c r="S36">
        <v>-6.6436073481336302E-2</v>
      </c>
      <c r="Y36">
        <f t="shared" si="0"/>
        <v>267</v>
      </c>
    </row>
    <row r="37" spans="1:25" x14ac:dyDescent="0.25">
      <c r="A37" t="s">
        <v>29</v>
      </c>
      <c r="B37">
        <v>74581</v>
      </c>
      <c r="C37">
        <v>62908</v>
      </c>
      <c r="D37">
        <v>138143</v>
      </c>
      <c r="E37">
        <v>3</v>
      </c>
      <c r="F37">
        <v>40</v>
      </c>
      <c r="G37">
        <v>143</v>
      </c>
      <c r="H37">
        <v>5</v>
      </c>
      <c r="I37">
        <v>164</v>
      </c>
      <c r="J37">
        <v>180</v>
      </c>
      <c r="K37">
        <v>2</v>
      </c>
      <c r="L37">
        <v>11397.554066623199</v>
      </c>
      <c r="M37">
        <v>811.92595099999903</v>
      </c>
      <c r="N37">
        <v>9931.6412451953202</v>
      </c>
      <c r="O37">
        <v>784.83841699999903</v>
      </c>
      <c r="P37">
        <v>1</v>
      </c>
      <c r="Q37">
        <v>1.1170288622077E-2</v>
      </c>
      <c r="R37">
        <v>4.7301547845522898E-3</v>
      </c>
      <c r="S37">
        <v>-7.7606362103413401E-2</v>
      </c>
      <c r="Y37">
        <f t="shared" si="0"/>
        <v>267</v>
      </c>
    </row>
    <row r="38" spans="1:25" x14ac:dyDescent="0.25">
      <c r="A38" t="s">
        <v>30</v>
      </c>
      <c r="B38">
        <v>61372</v>
      </c>
      <c r="C38">
        <v>115865</v>
      </c>
      <c r="D38">
        <v>138143</v>
      </c>
      <c r="E38">
        <v>3</v>
      </c>
      <c r="F38">
        <v>40</v>
      </c>
      <c r="G38">
        <v>110</v>
      </c>
      <c r="H38">
        <v>4</v>
      </c>
      <c r="I38">
        <v>116</v>
      </c>
      <c r="J38">
        <v>116</v>
      </c>
      <c r="K38">
        <v>2</v>
      </c>
      <c r="L38">
        <v>13677.8538096704</v>
      </c>
      <c r="M38">
        <v>871.18193499999995</v>
      </c>
      <c r="N38">
        <v>13677.8538096704</v>
      </c>
      <c r="O38">
        <v>871.18193499999995</v>
      </c>
      <c r="P38">
        <v>1</v>
      </c>
      <c r="Q38">
        <v>0</v>
      </c>
      <c r="R38">
        <v>0</v>
      </c>
      <c r="S38">
        <v>0</v>
      </c>
      <c r="Y38">
        <f t="shared" si="0"/>
        <v>186</v>
      </c>
    </row>
    <row r="39" spans="1:25" x14ac:dyDescent="0.25">
      <c r="A39" t="s">
        <v>30</v>
      </c>
      <c r="B39">
        <v>61372</v>
      </c>
      <c r="C39">
        <v>115865</v>
      </c>
      <c r="D39">
        <v>138143</v>
      </c>
      <c r="E39">
        <v>3</v>
      </c>
      <c r="F39">
        <v>40</v>
      </c>
      <c r="G39">
        <v>110</v>
      </c>
      <c r="H39">
        <v>4</v>
      </c>
      <c r="I39">
        <v>116</v>
      </c>
      <c r="J39">
        <v>146</v>
      </c>
      <c r="K39">
        <v>2</v>
      </c>
      <c r="L39">
        <v>13677.8538096704</v>
      </c>
      <c r="M39">
        <v>871.18193499999995</v>
      </c>
      <c r="N39">
        <v>12733.1230208159</v>
      </c>
      <c r="O39">
        <v>929.39657599999998</v>
      </c>
      <c r="P39">
        <v>1</v>
      </c>
      <c r="Q39">
        <v>3.4007531679308499E-2</v>
      </c>
      <c r="R39">
        <v>4.8513083448031402E-2</v>
      </c>
      <c r="S39">
        <v>-3.4007531679308499E-2</v>
      </c>
      <c r="Y39">
        <f t="shared" si="0"/>
        <v>186</v>
      </c>
    </row>
    <row r="40" spans="1:25" x14ac:dyDescent="0.25">
      <c r="A40" t="s">
        <v>31</v>
      </c>
      <c r="B40">
        <v>43973</v>
      </c>
      <c r="C40">
        <v>91984</v>
      </c>
      <c r="D40">
        <v>138143</v>
      </c>
      <c r="E40">
        <v>3</v>
      </c>
      <c r="F40">
        <v>40</v>
      </c>
      <c r="G40">
        <v>94</v>
      </c>
      <c r="H40">
        <v>4</v>
      </c>
      <c r="I40">
        <v>90</v>
      </c>
      <c r="J40">
        <v>90</v>
      </c>
      <c r="K40">
        <v>6</v>
      </c>
      <c r="L40">
        <v>21794.101670816501</v>
      </c>
      <c r="M40">
        <v>663.63999599999897</v>
      </c>
      <c r="N40">
        <v>21794.101670816501</v>
      </c>
      <c r="O40">
        <v>663.63999599999897</v>
      </c>
      <c r="P40">
        <v>1</v>
      </c>
      <c r="Q40">
        <v>0</v>
      </c>
      <c r="R40">
        <v>0</v>
      </c>
      <c r="S40">
        <v>0</v>
      </c>
      <c r="Y40">
        <f t="shared" si="0"/>
        <v>144</v>
      </c>
    </row>
    <row r="41" spans="1:25" x14ac:dyDescent="0.25">
      <c r="A41" t="s">
        <v>31</v>
      </c>
      <c r="B41">
        <v>43973</v>
      </c>
      <c r="C41">
        <v>91984</v>
      </c>
      <c r="D41">
        <v>138143</v>
      </c>
      <c r="E41">
        <v>3</v>
      </c>
      <c r="F41">
        <v>40</v>
      </c>
      <c r="G41">
        <v>94</v>
      </c>
      <c r="H41">
        <v>4</v>
      </c>
      <c r="I41">
        <v>90</v>
      </c>
      <c r="J41">
        <v>114</v>
      </c>
      <c r="K41">
        <v>6</v>
      </c>
      <c r="L41">
        <v>21794.101670816501</v>
      </c>
      <c r="M41">
        <v>663.63999599999897</v>
      </c>
      <c r="N41">
        <v>21727.416258039299</v>
      </c>
      <c r="O41">
        <v>675.68872699999895</v>
      </c>
      <c r="P41">
        <v>2</v>
      </c>
      <c r="Q41">
        <v>2.3821832086856599E-3</v>
      </c>
      <c r="R41">
        <v>1.1991771416856501E-2</v>
      </c>
      <c r="S41">
        <v>-2.3821832086856599E-3</v>
      </c>
      <c r="Y41">
        <f t="shared" si="0"/>
        <v>144</v>
      </c>
    </row>
    <row r="42" spans="1:25" x14ac:dyDescent="0.25">
      <c r="A42" t="s">
        <v>31</v>
      </c>
      <c r="B42">
        <v>43973</v>
      </c>
      <c r="C42">
        <v>91984</v>
      </c>
      <c r="D42">
        <v>138143</v>
      </c>
      <c r="E42">
        <v>3</v>
      </c>
      <c r="F42">
        <v>40</v>
      </c>
      <c r="G42">
        <v>94</v>
      </c>
      <c r="H42">
        <v>4</v>
      </c>
      <c r="I42">
        <v>90</v>
      </c>
      <c r="J42">
        <v>112</v>
      </c>
      <c r="K42">
        <v>6</v>
      </c>
      <c r="L42">
        <v>21794.101670816501</v>
      </c>
      <c r="M42">
        <v>663.63999599999897</v>
      </c>
      <c r="N42">
        <v>21667.6782485371</v>
      </c>
      <c r="O42">
        <v>682.35415699999896</v>
      </c>
      <c r="P42">
        <v>2</v>
      </c>
      <c r="Q42">
        <v>2.13400318345025E-3</v>
      </c>
      <c r="R42">
        <v>6.6339196181787099E-3</v>
      </c>
      <c r="S42">
        <v>7.4755850247206698E-3</v>
      </c>
      <c r="Y42">
        <f t="shared" si="0"/>
        <v>144</v>
      </c>
    </row>
    <row r="43" spans="1:25" x14ac:dyDescent="0.25">
      <c r="A43" t="s">
        <v>31</v>
      </c>
      <c r="B43">
        <v>43973</v>
      </c>
      <c r="C43">
        <v>91984</v>
      </c>
      <c r="D43">
        <v>138143</v>
      </c>
      <c r="E43">
        <v>3</v>
      </c>
      <c r="F43">
        <v>40</v>
      </c>
      <c r="G43">
        <v>94</v>
      </c>
      <c r="H43">
        <v>4</v>
      </c>
      <c r="I43">
        <v>90</v>
      </c>
      <c r="J43">
        <v>114</v>
      </c>
      <c r="K43">
        <v>6</v>
      </c>
      <c r="L43">
        <v>21794.101670816501</v>
      </c>
      <c r="M43">
        <v>663.63999599999897</v>
      </c>
      <c r="N43">
        <v>21337.076704909101</v>
      </c>
      <c r="O43">
        <v>683.60204999999905</v>
      </c>
      <c r="P43">
        <v>1</v>
      </c>
      <c r="Q43">
        <v>1.18099808218434E-2</v>
      </c>
      <c r="R43">
        <v>1.2419936679385301E-3</v>
      </c>
      <c r="S43">
        <v>2.2995238210559098E-3</v>
      </c>
      <c r="Y43">
        <f t="shared" si="0"/>
        <v>144</v>
      </c>
    </row>
    <row r="44" spans="1:25" x14ac:dyDescent="0.25">
      <c r="A44" t="s">
        <v>31</v>
      </c>
      <c r="B44">
        <v>43973</v>
      </c>
      <c r="C44">
        <v>91984</v>
      </c>
      <c r="D44">
        <v>138143</v>
      </c>
      <c r="E44">
        <v>3</v>
      </c>
      <c r="F44">
        <v>40</v>
      </c>
      <c r="G44">
        <v>94</v>
      </c>
      <c r="H44">
        <v>4</v>
      </c>
      <c r="I44">
        <v>90</v>
      </c>
      <c r="J44">
        <v>106</v>
      </c>
      <c r="K44">
        <v>6</v>
      </c>
      <c r="L44">
        <v>21794.101670816501</v>
      </c>
      <c r="M44">
        <v>663.63999599999897</v>
      </c>
      <c r="N44">
        <v>21209.893526736501</v>
      </c>
      <c r="O44">
        <v>686.03799099999901</v>
      </c>
      <c r="P44">
        <v>4</v>
      </c>
      <c r="Q44">
        <v>4.5433269264164499E-3</v>
      </c>
      <c r="R44">
        <v>2.4244252491777401E-3</v>
      </c>
      <c r="S44">
        <v>-1.0018094374220001E-3</v>
      </c>
      <c r="Y44">
        <f t="shared" si="0"/>
        <v>144</v>
      </c>
    </row>
    <row r="45" spans="1:25" x14ac:dyDescent="0.25">
      <c r="A45" t="s">
        <v>31</v>
      </c>
      <c r="B45">
        <v>43973</v>
      </c>
      <c r="C45">
        <v>91984</v>
      </c>
      <c r="D45">
        <v>138143</v>
      </c>
      <c r="E45">
        <v>3</v>
      </c>
      <c r="F45">
        <v>40</v>
      </c>
      <c r="G45">
        <v>94</v>
      </c>
      <c r="H45">
        <v>4</v>
      </c>
      <c r="I45">
        <v>90</v>
      </c>
      <c r="J45">
        <v>114</v>
      </c>
      <c r="K45">
        <v>6</v>
      </c>
      <c r="L45">
        <v>21794.101670816501</v>
      </c>
      <c r="M45">
        <v>663.63999599999897</v>
      </c>
      <c r="N45">
        <v>21141.4424496705</v>
      </c>
      <c r="O45">
        <v>718.74974699999905</v>
      </c>
      <c r="P45">
        <v>1</v>
      </c>
      <c r="Q45">
        <v>2.4452575100287698E-3</v>
      </c>
      <c r="R45">
        <v>3.2557113325543098E-2</v>
      </c>
      <c r="S45">
        <v>-1.02264169827304E-3</v>
      </c>
      <c r="Y45">
        <f t="shared" si="0"/>
        <v>144</v>
      </c>
    </row>
    <row r="46" spans="1:25" x14ac:dyDescent="0.25">
      <c r="A46" t="s">
        <v>32</v>
      </c>
      <c r="B46">
        <v>67177</v>
      </c>
      <c r="C46">
        <v>124622</v>
      </c>
      <c r="D46">
        <v>138143</v>
      </c>
      <c r="E46">
        <v>3</v>
      </c>
      <c r="F46">
        <v>40</v>
      </c>
      <c r="G46">
        <v>123</v>
      </c>
      <c r="H46">
        <v>4</v>
      </c>
      <c r="I46">
        <v>148</v>
      </c>
      <c r="J46">
        <v>148</v>
      </c>
      <c r="K46">
        <v>4</v>
      </c>
      <c r="L46">
        <v>7078.8751808717798</v>
      </c>
      <c r="M46">
        <v>204.192621</v>
      </c>
      <c r="N46">
        <v>7078.8751808717798</v>
      </c>
      <c r="O46">
        <v>204.192621</v>
      </c>
      <c r="P46">
        <v>1</v>
      </c>
      <c r="Q46">
        <v>0</v>
      </c>
      <c r="R46">
        <v>0</v>
      </c>
      <c r="S46">
        <v>0</v>
      </c>
      <c r="Y46">
        <f t="shared" si="0"/>
        <v>231</v>
      </c>
    </row>
    <row r="47" spans="1:25" x14ac:dyDescent="0.25">
      <c r="A47" t="s">
        <v>32</v>
      </c>
      <c r="B47">
        <v>67177</v>
      </c>
      <c r="C47">
        <v>124622</v>
      </c>
      <c r="D47">
        <v>138143</v>
      </c>
      <c r="E47">
        <v>3</v>
      </c>
      <c r="F47">
        <v>40</v>
      </c>
      <c r="G47">
        <v>123</v>
      </c>
      <c r="H47">
        <v>4</v>
      </c>
      <c r="I47">
        <v>148</v>
      </c>
      <c r="J47">
        <v>186</v>
      </c>
      <c r="K47">
        <v>4</v>
      </c>
      <c r="L47">
        <v>7078.8751808717798</v>
      </c>
      <c r="M47">
        <v>204.192621</v>
      </c>
      <c r="N47">
        <v>6965.7814543996501</v>
      </c>
      <c r="O47">
        <v>247.74752999999899</v>
      </c>
      <c r="P47">
        <v>4</v>
      </c>
      <c r="Q47">
        <v>4.0483503525085502E-3</v>
      </c>
      <c r="R47">
        <v>3.43177663281223E-2</v>
      </c>
      <c r="S47">
        <v>-4.0483503525085502E-3</v>
      </c>
      <c r="Y47">
        <f t="shared" si="0"/>
        <v>231</v>
      </c>
    </row>
    <row r="48" spans="1:25" x14ac:dyDescent="0.25">
      <c r="A48" t="s">
        <v>32</v>
      </c>
      <c r="B48">
        <v>67177</v>
      </c>
      <c r="C48">
        <v>124622</v>
      </c>
      <c r="D48">
        <v>138143</v>
      </c>
      <c r="E48">
        <v>3</v>
      </c>
      <c r="F48">
        <v>40</v>
      </c>
      <c r="G48">
        <v>123</v>
      </c>
      <c r="H48">
        <v>4</v>
      </c>
      <c r="I48">
        <v>148</v>
      </c>
      <c r="J48">
        <v>172</v>
      </c>
      <c r="K48">
        <v>4</v>
      </c>
      <c r="L48">
        <v>7078.8751808717798</v>
      </c>
      <c r="M48">
        <v>204.192621</v>
      </c>
      <c r="N48">
        <v>6857.5421893542898</v>
      </c>
      <c r="O48">
        <v>264.48684799999899</v>
      </c>
      <c r="P48">
        <v>2</v>
      </c>
      <c r="Q48">
        <v>3.8745780201138698E-3</v>
      </c>
      <c r="R48">
        <v>1.3189236685493501E-2</v>
      </c>
      <c r="S48">
        <v>2.6394837955499899E-2</v>
      </c>
      <c r="Y48">
        <f t="shared" si="0"/>
        <v>231</v>
      </c>
    </row>
    <row r="49" spans="1:25" x14ac:dyDescent="0.25">
      <c r="A49" t="s">
        <v>32</v>
      </c>
      <c r="B49">
        <v>67177</v>
      </c>
      <c r="C49">
        <v>124622</v>
      </c>
      <c r="D49">
        <v>138143</v>
      </c>
      <c r="E49">
        <v>3</v>
      </c>
      <c r="F49">
        <v>40</v>
      </c>
      <c r="G49">
        <v>123</v>
      </c>
      <c r="H49">
        <v>4</v>
      </c>
      <c r="I49">
        <v>148</v>
      </c>
      <c r="J49">
        <v>180</v>
      </c>
      <c r="K49">
        <v>4</v>
      </c>
      <c r="L49">
        <v>7078.8751808717798</v>
      </c>
      <c r="M49">
        <v>204.192621</v>
      </c>
      <c r="N49">
        <v>6743.1516169629704</v>
      </c>
      <c r="O49">
        <v>280.78637500000002</v>
      </c>
      <c r="P49">
        <v>2</v>
      </c>
      <c r="Q49">
        <v>4.0947727916473796E-3</v>
      </c>
      <c r="R49">
        <v>1.28427167381964E-2</v>
      </c>
      <c r="S49">
        <v>3.5489301849346101E-2</v>
      </c>
      <c r="Y49">
        <f t="shared" si="0"/>
        <v>231</v>
      </c>
    </row>
    <row r="50" spans="1:25" x14ac:dyDescent="0.25">
      <c r="A50" t="s">
        <v>33</v>
      </c>
      <c r="B50">
        <v>70137</v>
      </c>
      <c r="C50">
        <v>1</v>
      </c>
      <c r="D50">
        <v>138143</v>
      </c>
      <c r="E50">
        <v>3</v>
      </c>
      <c r="F50">
        <v>40</v>
      </c>
      <c r="G50">
        <v>134</v>
      </c>
      <c r="H50">
        <v>5</v>
      </c>
      <c r="I50">
        <v>146</v>
      </c>
      <c r="J50">
        <v>146</v>
      </c>
      <c r="K50">
        <v>1</v>
      </c>
      <c r="L50">
        <v>26453.569924262199</v>
      </c>
      <c r="M50">
        <v>1326.3239549999901</v>
      </c>
      <c r="N50">
        <v>26453.569924262199</v>
      </c>
      <c r="O50">
        <v>1326.3239549999901</v>
      </c>
      <c r="P50">
        <v>1</v>
      </c>
      <c r="Q50">
        <v>0</v>
      </c>
      <c r="R50">
        <v>0</v>
      </c>
      <c r="S50">
        <v>0</v>
      </c>
      <c r="Y50">
        <f t="shared" si="0"/>
        <v>240</v>
      </c>
    </row>
    <row r="51" spans="1:25" x14ac:dyDescent="0.25">
      <c r="A51" t="s">
        <v>34</v>
      </c>
      <c r="B51">
        <v>55462</v>
      </c>
      <c r="C51">
        <v>12218</v>
      </c>
      <c r="D51">
        <v>138143</v>
      </c>
      <c r="E51">
        <v>3</v>
      </c>
      <c r="F51">
        <v>40</v>
      </c>
      <c r="G51">
        <v>112</v>
      </c>
      <c r="H51">
        <v>4</v>
      </c>
      <c r="I51">
        <v>108</v>
      </c>
      <c r="J51">
        <v>108</v>
      </c>
      <c r="K51">
        <v>3</v>
      </c>
      <c r="L51">
        <v>17507.9138795582</v>
      </c>
      <c r="M51">
        <v>755.94189900000003</v>
      </c>
      <c r="N51">
        <v>17507.9138795582</v>
      </c>
      <c r="O51">
        <v>755.94189900000003</v>
      </c>
      <c r="P51">
        <v>1</v>
      </c>
      <c r="Q51">
        <v>0</v>
      </c>
      <c r="R51">
        <v>0</v>
      </c>
      <c r="S51">
        <v>0</v>
      </c>
      <c r="Y51">
        <f t="shared" si="0"/>
        <v>180</v>
      </c>
    </row>
    <row r="52" spans="1:25" x14ac:dyDescent="0.25">
      <c r="A52" t="s">
        <v>34</v>
      </c>
      <c r="B52">
        <v>55462</v>
      </c>
      <c r="C52">
        <v>12218</v>
      </c>
      <c r="D52">
        <v>138143</v>
      </c>
      <c r="E52">
        <v>3</v>
      </c>
      <c r="F52">
        <v>40</v>
      </c>
      <c r="G52">
        <v>112</v>
      </c>
      <c r="H52">
        <v>4</v>
      </c>
      <c r="I52">
        <v>108</v>
      </c>
      <c r="J52">
        <v>128</v>
      </c>
      <c r="K52">
        <v>3</v>
      </c>
      <c r="L52">
        <v>17507.9138795582</v>
      </c>
      <c r="M52">
        <v>755.94189900000003</v>
      </c>
      <c r="N52">
        <v>17286.386453738902</v>
      </c>
      <c r="O52">
        <v>845.996441</v>
      </c>
      <c r="P52">
        <v>1</v>
      </c>
      <c r="Q52">
        <v>7.9382644625005609E-3</v>
      </c>
      <c r="R52">
        <v>9.92231147042128E-2</v>
      </c>
      <c r="S52">
        <v>-7.9382644625005609E-3</v>
      </c>
      <c r="Y52">
        <f t="shared" si="0"/>
        <v>180</v>
      </c>
    </row>
    <row r="53" spans="1:25" x14ac:dyDescent="0.25">
      <c r="A53" t="s">
        <v>34</v>
      </c>
      <c r="B53">
        <v>55462</v>
      </c>
      <c r="C53">
        <v>12218</v>
      </c>
      <c r="D53">
        <v>138143</v>
      </c>
      <c r="E53">
        <v>3</v>
      </c>
      <c r="F53">
        <v>40</v>
      </c>
      <c r="G53">
        <v>112</v>
      </c>
      <c r="H53">
        <v>4</v>
      </c>
      <c r="I53">
        <v>108</v>
      </c>
      <c r="J53">
        <v>140</v>
      </c>
      <c r="K53">
        <v>3</v>
      </c>
      <c r="L53">
        <v>17507.9138795582</v>
      </c>
      <c r="M53">
        <v>755.94189900000003</v>
      </c>
      <c r="N53">
        <v>17270.574597742001</v>
      </c>
      <c r="O53">
        <v>855.37889799999903</v>
      </c>
      <c r="P53">
        <v>1</v>
      </c>
      <c r="Q53" s="1">
        <v>5.6660566555954896E-4</v>
      </c>
      <c r="R53">
        <v>1.03376974269475E-2</v>
      </c>
      <c r="S53">
        <v>9.0718244576152698E-2</v>
      </c>
      <c r="Y53">
        <f t="shared" si="0"/>
        <v>180</v>
      </c>
    </row>
    <row r="54" spans="1:25" x14ac:dyDescent="0.25">
      <c r="A54" t="s">
        <v>35</v>
      </c>
      <c r="B54">
        <v>51269</v>
      </c>
      <c r="C54">
        <v>108011</v>
      </c>
      <c r="D54">
        <v>138143</v>
      </c>
      <c r="E54">
        <v>3</v>
      </c>
      <c r="F54">
        <v>40</v>
      </c>
      <c r="G54">
        <v>105</v>
      </c>
      <c r="H54">
        <v>5</v>
      </c>
      <c r="I54">
        <v>110</v>
      </c>
      <c r="J54">
        <v>110</v>
      </c>
      <c r="K54">
        <v>3</v>
      </c>
      <c r="L54">
        <v>11510.493457366199</v>
      </c>
      <c r="M54">
        <v>840.68796499999996</v>
      </c>
      <c r="N54">
        <v>11510.493457366199</v>
      </c>
      <c r="O54">
        <v>840.68796499999996</v>
      </c>
      <c r="P54">
        <v>1</v>
      </c>
      <c r="Q54">
        <v>0</v>
      </c>
      <c r="R54">
        <v>0</v>
      </c>
      <c r="S54">
        <v>0</v>
      </c>
      <c r="Y54">
        <f t="shared" si="0"/>
        <v>175</v>
      </c>
    </row>
    <row r="55" spans="1:25" x14ac:dyDescent="0.25">
      <c r="A55" t="s">
        <v>35</v>
      </c>
      <c r="B55">
        <v>51269</v>
      </c>
      <c r="C55">
        <v>108011</v>
      </c>
      <c r="D55">
        <v>138143</v>
      </c>
      <c r="E55">
        <v>3</v>
      </c>
      <c r="F55">
        <v>40</v>
      </c>
      <c r="G55">
        <v>105</v>
      </c>
      <c r="H55">
        <v>5</v>
      </c>
      <c r="I55">
        <v>110</v>
      </c>
      <c r="J55">
        <v>132</v>
      </c>
      <c r="K55">
        <v>3</v>
      </c>
      <c r="L55">
        <v>11510.493457366199</v>
      </c>
      <c r="M55">
        <v>840.68796499999996</v>
      </c>
      <c r="N55">
        <v>11508.8298286474</v>
      </c>
      <c r="O55">
        <v>949.88755999999898</v>
      </c>
      <c r="P55">
        <v>2</v>
      </c>
      <c r="Q55" s="1">
        <v>6.1065187077047307E-5</v>
      </c>
      <c r="R55">
        <v>9.47283690074852E-2</v>
      </c>
      <c r="S55" s="1">
        <v>-6.1065187077047307E-5</v>
      </c>
      <c r="Y55">
        <f t="shared" si="0"/>
        <v>175</v>
      </c>
    </row>
    <row r="56" spans="1:25" x14ac:dyDescent="0.25">
      <c r="A56" t="s">
        <v>35</v>
      </c>
      <c r="B56">
        <v>51269</v>
      </c>
      <c r="C56">
        <v>108011</v>
      </c>
      <c r="D56">
        <v>138143</v>
      </c>
      <c r="E56">
        <v>3</v>
      </c>
      <c r="F56">
        <v>40</v>
      </c>
      <c r="G56">
        <v>105</v>
      </c>
      <c r="H56">
        <v>5</v>
      </c>
      <c r="I56">
        <v>110</v>
      </c>
      <c r="J56">
        <v>134</v>
      </c>
      <c r="K56">
        <v>3</v>
      </c>
      <c r="L56">
        <v>11510.493457366199</v>
      </c>
      <c r="M56">
        <v>840.68796499999996</v>
      </c>
      <c r="N56">
        <v>11258.420712851201</v>
      </c>
      <c r="O56">
        <v>998.82909299999994</v>
      </c>
      <c r="P56">
        <v>2</v>
      </c>
      <c r="Q56">
        <v>9.1915217192457491E-3</v>
      </c>
      <c r="R56">
        <v>4.24557581721439E-2</v>
      </c>
      <c r="S56">
        <v>8.5475782101162398E-2</v>
      </c>
      <c r="Y56">
        <f t="shared" si="0"/>
        <v>175</v>
      </c>
    </row>
    <row r="57" spans="1:25" x14ac:dyDescent="0.25">
      <c r="A57" t="s">
        <v>36</v>
      </c>
      <c r="B57">
        <v>50478</v>
      </c>
      <c r="C57">
        <v>124077</v>
      </c>
      <c r="D57">
        <v>138143</v>
      </c>
      <c r="E57">
        <v>3</v>
      </c>
      <c r="F57">
        <v>40</v>
      </c>
      <c r="G57">
        <v>107</v>
      </c>
      <c r="H57">
        <v>6</v>
      </c>
      <c r="I57">
        <v>90</v>
      </c>
      <c r="J57">
        <v>90</v>
      </c>
      <c r="K57">
        <v>4</v>
      </c>
      <c r="L57">
        <v>12292.837453115701</v>
      </c>
      <c r="M57">
        <v>822.91694900000005</v>
      </c>
      <c r="N57">
        <v>12292.837453115701</v>
      </c>
      <c r="O57">
        <v>822.91694900000005</v>
      </c>
      <c r="P57">
        <v>1</v>
      </c>
      <c r="Q57">
        <v>0</v>
      </c>
      <c r="R57">
        <v>0</v>
      </c>
      <c r="S57">
        <v>0</v>
      </c>
      <c r="Y57">
        <f t="shared" si="0"/>
        <v>157</v>
      </c>
    </row>
    <row r="58" spans="1:25" x14ac:dyDescent="0.25">
      <c r="A58" t="s">
        <v>36</v>
      </c>
      <c r="B58">
        <v>50478</v>
      </c>
      <c r="C58">
        <v>124077</v>
      </c>
      <c r="D58">
        <v>138143</v>
      </c>
      <c r="E58">
        <v>3</v>
      </c>
      <c r="F58">
        <v>40</v>
      </c>
      <c r="G58">
        <v>107</v>
      </c>
      <c r="H58">
        <v>6</v>
      </c>
      <c r="I58">
        <v>90</v>
      </c>
      <c r="J58">
        <v>124</v>
      </c>
      <c r="K58">
        <v>4</v>
      </c>
      <c r="L58">
        <v>12292.837453115701</v>
      </c>
      <c r="M58">
        <v>822.91694900000005</v>
      </c>
      <c r="N58">
        <v>11873.252019064799</v>
      </c>
      <c r="O58">
        <v>910.16585999999904</v>
      </c>
      <c r="P58">
        <v>2</v>
      </c>
      <c r="Q58">
        <v>1.5593916569204299E-2</v>
      </c>
      <c r="R58">
        <v>7.6890148276424805E-2</v>
      </c>
      <c r="S58">
        <v>-1.5593916569204299E-2</v>
      </c>
      <c r="Y58">
        <f t="shared" si="0"/>
        <v>157</v>
      </c>
    </row>
    <row r="59" spans="1:25" x14ac:dyDescent="0.25">
      <c r="A59" t="s">
        <v>36</v>
      </c>
      <c r="B59">
        <v>50478</v>
      </c>
      <c r="C59">
        <v>124077</v>
      </c>
      <c r="D59">
        <v>138143</v>
      </c>
      <c r="E59">
        <v>3</v>
      </c>
      <c r="F59">
        <v>40</v>
      </c>
      <c r="G59">
        <v>107</v>
      </c>
      <c r="H59">
        <v>6</v>
      </c>
      <c r="I59">
        <v>90</v>
      </c>
      <c r="J59">
        <v>118</v>
      </c>
      <c r="K59">
        <v>4</v>
      </c>
      <c r="L59">
        <v>12292.837453115701</v>
      </c>
      <c r="M59">
        <v>822.91694900000005</v>
      </c>
      <c r="N59">
        <v>11229.1911287886</v>
      </c>
      <c r="O59">
        <v>932.12845100000004</v>
      </c>
      <c r="P59">
        <v>2</v>
      </c>
      <c r="Q59">
        <v>2.3936559692963402E-2</v>
      </c>
      <c r="R59">
        <v>1.9355048208275001E-2</v>
      </c>
      <c r="S59">
        <v>3.7359672014256898E-2</v>
      </c>
      <c r="Y59">
        <f t="shared" si="0"/>
        <v>157</v>
      </c>
    </row>
    <row r="60" spans="1:25" x14ac:dyDescent="0.25">
      <c r="A60" t="s">
        <v>36</v>
      </c>
      <c r="B60">
        <v>50478</v>
      </c>
      <c r="C60">
        <v>124077</v>
      </c>
      <c r="D60">
        <v>138143</v>
      </c>
      <c r="E60">
        <v>3</v>
      </c>
      <c r="F60">
        <v>40</v>
      </c>
      <c r="G60">
        <v>107</v>
      </c>
      <c r="H60">
        <v>6</v>
      </c>
      <c r="I60">
        <v>90</v>
      </c>
      <c r="J60">
        <v>124</v>
      </c>
      <c r="K60">
        <v>4</v>
      </c>
      <c r="L60">
        <v>12292.837453115701</v>
      </c>
      <c r="M60">
        <v>822.91694900000005</v>
      </c>
      <c r="N60">
        <v>11115.2813707806</v>
      </c>
      <c r="O60">
        <v>958.88272500000005</v>
      </c>
      <c r="P60">
        <v>1</v>
      </c>
      <c r="Q60">
        <v>4.2334626482284903E-3</v>
      </c>
      <c r="R60">
        <v>2.3577831187922602E-2</v>
      </c>
      <c r="S60">
        <v>5.2481257574303497E-2</v>
      </c>
      <c r="Y60">
        <f t="shared" si="0"/>
        <v>157</v>
      </c>
    </row>
    <row r="61" spans="1:25" x14ac:dyDescent="0.25">
      <c r="A61" t="s">
        <v>37</v>
      </c>
      <c r="B61">
        <v>59463</v>
      </c>
      <c r="C61">
        <v>93467</v>
      </c>
      <c r="D61">
        <v>138143</v>
      </c>
      <c r="E61">
        <v>3</v>
      </c>
      <c r="F61">
        <v>40</v>
      </c>
      <c r="G61">
        <v>119</v>
      </c>
      <c r="H61">
        <v>5</v>
      </c>
      <c r="I61">
        <v>138</v>
      </c>
      <c r="J61">
        <v>138</v>
      </c>
      <c r="K61">
        <v>4</v>
      </c>
      <c r="L61">
        <v>7064.6205834197399</v>
      </c>
      <c r="M61">
        <v>903.35524299999997</v>
      </c>
      <c r="N61">
        <v>7064.6205834197399</v>
      </c>
      <c r="O61">
        <v>903.35524299999997</v>
      </c>
      <c r="P61">
        <v>1</v>
      </c>
      <c r="Q61">
        <v>0</v>
      </c>
      <c r="R61">
        <v>0</v>
      </c>
      <c r="S61">
        <v>0</v>
      </c>
      <c r="Y61">
        <f t="shared" si="0"/>
        <v>217</v>
      </c>
    </row>
    <row r="62" spans="1:25" x14ac:dyDescent="0.25">
      <c r="A62" t="s">
        <v>37</v>
      </c>
      <c r="B62">
        <v>59463</v>
      </c>
      <c r="C62">
        <v>93467</v>
      </c>
      <c r="D62">
        <v>138143</v>
      </c>
      <c r="E62">
        <v>3</v>
      </c>
      <c r="F62">
        <v>40</v>
      </c>
      <c r="G62">
        <v>119</v>
      </c>
      <c r="H62">
        <v>5</v>
      </c>
      <c r="I62">
        <v>138</v>
      </c>
      <c r="J62">
        <v>166</v>
      </c>
      <c r="K62">
        <v>4</v>
      </c>
      <c r="L62">
        <v>7064.6205834197399</v>
      </c>
      <c r="M62">
        <v>903.35524299999997</v>
      </c>
      <c r="N62">
        <v>6546.0613734281396</v>
      </c>
      <c r="O62">
        <v>975.07404599999995</v>
      </c>
      <c r="P62">
        <v>1</v>
      </c>
      <c r="Q62">
        <v>1.87112019587873E-2</v>
      </c>
      <c r="R62">
        <v>5.8516184824117599E-2</v>
      </c>
      <c r="S62">
        <v>-1.87112019587873E-2</v>
      </c>
      <c r="Y62">
        <f t="shared" si="0"/>
        <v>217</v>
      </c>
    </row>
    <row r="63" spans="1:25" x14ac:dyDescent="0.25">
      <c r="A63" t="s">
        <v>37</v>
      </c>
      <c r="B63">
        <v>59463</v>
      </c>
      <c r="C63">
        <v>93467</v>
      </c>
      <c r="D63">
        <v>138143</v>
      </c>
      <c r="E63">
        <v>3</v>
      </c>
      <c r="F63">
        <v>40</v>
      </c>
      <c r="G63">
        <v>119</v>
      </c>
      <c r="H63">
        <v>5</v>
      </c>
      <c r="I63">
        <v>138</v>
      </c>
      <c r="J63">
        <v>158</v>
      </c>
      <c r="K63">
        <v>4</v>
      </c>
      <c r="L63">
        <v>7064.6205834197399</v>
      </c>
      <c r="M63">
        <v>903.35524299999997</v>
      </c>
      <c r="N63">
        <v>6120.7535711397204</v>
      </c>
      <c r="O63">
        <v>1012.335595</v>
      </c>
      <c r="P63">
        <v>3</v>
      </c>
      <c r="Q63">
        <v>1.53464060225551E-2</v>
      </c>
      <c r="R63">
        <v>3.0402120460891101E-2</v>
      </c>
      <c r="S63">
        <v>2.4458576842775099E-2</v>
      </c>
      <c r="Y63">
        <f t="shared" si="0"/>
        <v>217</v>
      </c>
    </row>
    <row r="64" spans="1:25" x14ac:dyDescent="0.25">
      <c r="A64" t="s">
        <v>37</v>
      </c>
      <c r="B64">
        <v>59463</v>
      </c>
      <c r="C64">
        <v>93467</v>
      </c>
      <c r="D64">
        <v>138143</v>
      </c>
      <c r="E64">
        <v>3</v>
      </c>
      <c r="F64">
        <v>40</v>
      </c>
      <c r="G64">
        <v>119</v>
      </c>
      <c r="H64">
        <v>5</v>
      </c>
      <c r="I64">
        <v>138</v>
      </c>
      <c r="J64">
        <v>152</v>
      </c>
      <c r="K64">
        <v>4</v>
      </c>
      <c r="L64">
        <v>7064.6205834197399</v>
      </c>
      <c r="M64">
        <v>903.35524299999997</v>
      </c>
      <c r="N64">
        <v>5866.6790529829996</v>
      </c>
      <c r="O64">
        <v>1035.3968420000001</v>
      </c>
      <c r="P64">
        <v>2</v>
      </c>
      <c r="Q64">
        <v>9.1677855300054106E-3</v>
      </c>
      <c r="R64">
        <v>1.8815932994958501E-2</v>
      </c>
      <c r="S64">
        <v>4.5692911773660902E-2</v>
      </c>
      <c r="Y64">
        <f t="shared" si="0"/>
        <v>217</v>
      </c>
    </row>
    <row r="65" spans="1:25" x14ac:dyDescent="0.25">
      <c r="A65" t="s">
        <v>38</v>
      </c>
      <c r="B65">
        <v>65409</v>
      </c>
      <c r="C65">
        <v>78740</v>
      </c>
      <c r="D65">
        <v>138143</v>
      </c>
      <c r="E65">
        <v>3</v>
      </c>
      <c r="F65">
        <v>40</v>
      </c>
      <c r="G65">
        <v>123</v>
      </c>
      <c r="H65">
        <v>4</v>
      </c>
      <c r="I65">
        <v>152</v>
      </c>
      <c r="J65">
        <v>150</v>
      </c>
      <c r="K65">
        <v>4</v>
      </c>
      <c r="L65">
        <v>9475.2059329137792</v>
      </c>
      <c r="M65">
        <v>317.05541799999997</v>
      </c>
      <c r="N65">
        <v>9475.2059329137792</v>
      </c>
      <c r="O65">
        <v>316.24307099999999</v>
      </c>
      <c r="P65">
        <v>2</v>
      </c>
      <c r="Q65">
        <v>0</v>
      </c>
      <c r="R65">
        <v>0</v>
      </c>
      <c r="S65" s="1">
        <v>-6.76245227522298E-4</v>
      </c>
      <c r="Y65">
        <f t="shared" si="0"/>
        <v>235</v>
      </c>
    </row>
    <row r="66" spans="1:25" x14ac:dyDescent="0.25">
      <c r="A66" t="s">
        <v>38</v>
      </c>
      <c r="B66">
        <v>65409</v>
      </c>
      <c r="C66">
        <v>78740</v>
      </c>
      <c r="D66">
        <v>138143</v>
      </c>
      <c r="E66">
        <v>3</v>
      </c>
      <c r="F66">
        <v>40</v>
      </c>
      <c r="G66">
        <v>123</v>
      </c>
      <c r="H66">
        <v>4</v>
      </c>
      <c r="I66">
        <v>152</v>
      </c>
      <c r="J66">
        <v>168</v>
      </c>
      <c r="K66">
        <v>4</v>
      </c>
      <c r="L66">
        <v>9475.2059329137792</v>
      </c>
      <c r="M66">
        <v>317.05541799999997</v>
      </c>
      <c r="N66">
        <v>8629.9383334715694</v>
      </c>
      <c r="O66">
        <v>326.092558</v>
      </c>
      <c r="P66">
        <v>2</v>
      </c>
      <c r="Q66">
        <v>3.0198548750573501E-2</v>
      </c>
      <c r="R66">
        <v>8.1992899306486105E-3</v>
      </c>
      <c r="S66">
        <v>-3.08747939780958E-2</v>
      </c>
      <c r="Y66">
        <f t="shared" si="0"/>
        <v>235</v>
      </c>
    </row>
    <row r="67" spans="1:25" x14ac:dyDescent="0.25">
      <c r="A67" t="s">
        <v>38</v>
      </c>
      <c r="B67">
        <v>65409</v>
      </c>
      <c r="C67">
        <v>78740</v>
      </c>
      <c r="D67">
        <v>138143</v>
      </c>
      <c r="E67">
        <v>3</v>
      </c>
      <c r="F67">
        <v>40</v>
      </c>
      <c r="G67">
        <v>123</v>
      </c>
      <c r="H67">
        <v>4</v>
      </c>
      <c r="I67">
        <v>152</v>
      </c>
      <c r="J67">
        <v>168</v>
      </c>
      <c r="K67">
        <v>4</v>
      </c>
      <c r="L67">
        <v>9475.2059329137792</v>
      </c>
      <c r="M67">
        <v>317.05541799999997</v>
      </c>
      <c r="N67">
        <v>7610.4107550128701</v>
      </c>
      <c r="O67">
        <v>328.86870599999997</v>
      </c>
      <c r="P67">
        <v>1</v>
      </c>
      <c r="Q67">
        <v>3.6424267653174101E-2</v>
      </c>
      <c r="R67">
        <v>2.3110282131840699E-3</v>
      </c>
      <c r="S67">
        <v>-5.9099771700621397E-2</v>
      </c>
      <c r="Y67">
        <f t="shared" ref="Y67:Y96" si="1">G67+I67-F67</f>
        <v>235</v>
      </c>
    </row>
    <row r="68" spans="1:25" x14ac:dyDescent="0.25">
      <c r="A68" t="s">
        <v>38</v>
      </c>
      <c r="B68">
        <v>65409</v>
      </c>
      <c r="C68">
        <v>78740</v>
      </c>
      <c r="D68">
        <v>138143</v>
      </c>
      <c r="E68">
        <v>3</v>
      </c>
      <c r="F68">
        <v>40</v>
      </c>
      <c r="G68">
        <v>123</v>
      </c>
      <c r="H68">
        <v>4</v>
      </c>
      <c r="I68">
        <v>152</v>
      </c>
      <c r="J68">
        <v>160</v>
      </c>
      <c r="K68">
        <v>4</v>
      </c>
      <c r="L68">
        <v>9475.2059329137792</v>
      </c>
      <c r="M68">
        <v>317.05541799999997</v>
      </c>
      <c r="N68">
        <v>7610.4107550128601</v>
      </c>
      <c r="O68">
        <v>351.16684299999997</v>
      </c>
      <c r="P68">
        <v>2</v>
      </c>
      <c r="Q68" s="1">
        <v>1.11022302462515E-16</v>
      </c>
      <c r="R68">
        <v>1.85622753932587E-2</v>
      </c>
      <c r="S68">
        <v>-5.6788743487437399E-2</v>
      </c>
      <c r="Y68">
        <f t="shared" si="1"/>
        <v>235</v>
      </c>
    </row>
    <row r="69" spans="1:25" x14ac:dyDescent="0.25">
      <c r="A69" t="s">
        <v>39</v>
      </c>
      <c r="B69">
        <v>70692</v>
      </c>
      <c r="C69">
        <v>130592</v>
      </c>
      <c r="D69">
        <v>138143</v>
      </c>
      <c r="E69">
        <v>3</v>
      </c>
      <c r="F69">
        <v>40</v>
      </c>
      <c r="G69">
        <v>130</v>
      </c>
      <c r="H69">
        <v>5</v>
      </c>
      <c r="I69">
        <v>152</v>
      </c>
      <c r="J69">
        <v>180</v>
      </c>
      <c r="K69">
        <v>7</v>
      </c>
      <c r="L69">
        <v>18596.402849268499</v>
      </c>
      <c r="M69">
        <v>1139.9359449999999</v>
      </c>
      <c r="N69">
        <v>18761.563724989999</v>
      </c>
      <c r="O69">
        <v>1131.8375779999999</v>
      </c>
      <c r="P69">
        <v>4</v>
      </c>
      <c r="Q69">
        <v>0</v>
      </c>
      <c r="R69">
        <v>0</v>
      </c>
      <c r="S69" s="1">
        <v>-4.7226468372241198E-4</v>
      </c>
      <c r="Y69">
        <f t="shared" si="1"/>
        <v>242</v>
      </c>
    </row>
    <row r="70" spans="1:25" x14ac:dyDescent="0.25">
      <c r="A70" t="s">
        <v>39</v>
      </c>
      <c r="B70">
        <v>70692</v>
      </c>
      <c r="C70">
        <v>130592</v>
      </c>
      <c r="D70">
        <v>138143</v>
      </c>
      <c r="E70">
        <v>3</v>
      </c>
      <c r="F70">
        <v>40</v>
      </c>
      <c r="G70">
        <v>130</v>
      </c>
      <c r="H70">
        <v>5</v>
      </c>
      <c r="I70">
        <v>152</v>
      </c>
      <c r="J70">
        <v>152</v>
      </c>
      <c r="K70">
        <v>7</v>
      </c>
      <c r="L70">
        <v>18596.402849268499</v>
      </c>
      <c r="M70">
        <v>1139.9359449999999</v>
      </c>
      <c r="N70">
        <v>18596.402849268499</v>
      </c>
      <c r="O70">
        <v>1139.9359449999999</v>
      </c>
      <c r="P70">
        <v>1</v>
      </c>
      <c r="Q70">
        <v>5.9507186513435501E-3</v>
      </c>
      <c r="R70">
        <v>6.4229833350659604E-3</v>
      </c>
      <c r="S70">
        <v>-6.4229833350659604E-3</v>
      </c>
      <c r="Y70">
        <f t="shared" si="1"/>
        <v>242</v>
      </c>
    </row>
    <row r="71" spans="1:25" x14ac:dyDescent="0.25">
      <c r="A71" t="s">
        <v>39</v>
      </c>
      <c r="B71">
        <v>70692</v>
      </c>
      <c r="C71">
        <v>130592</v>
      </c>
      <c r="D71">
        <v>138143</v>
      </c>
      <c r="E71">
        <v>3</v>
      </c>
      <c r="F71">
        <v>40</v>
      </c>
      <c r="G71">
        <v>130</v>
      </c>
      <c r="H71">
        <v>5</v>
      </c>
      <c r="I71">
        <v>152</v>
      </c>
      <c r="J71">
        <v>186</v>
      </c>
      <c r="K71">
        <v>7</v>
      </c>
      <c r="L71">
        <v>18596.402849268499</v>
      </c>
      <c r="M71">
        <v>1139.9359449999999</v>
      </c>
      <c r="N71">
        <v>18274.7843653483</v>
      </c>
      <c r="O71">
        <v>1142.625622</v>
      </c>
      <c r="P71">
        <v>4</v>
      </c>
      <c r="Q71">
        <v>1.15878600335664E-2</v>
      </c>
      <c r="R71">
        <v>2.1332387810667399E-3</v>
      </c>
      <c r="S71">
        <v>-1.15878600335664E-2</v>
      </c>
      <c r="Y71">
        <f t="shared" si="1"/>
        <v>242</v>
      </c>
    </row>
    <row r="72" spans="1:25" x14ac:dyDescent="0.25">
      <c r="A72" t="s">
        <v>39</v>
      </c>
      <c r="B72">
        <v>70692</v>
      </c>
      <c r="C72">
        <v>130592</v>
      </c>
      <c r="D72">
        <v>138143</v>
      </c>
      <c r="E72">
        <v>3</v>
      </c>
      <c r="F72">
        <v>40</v>
      </c>
      <c r="G72">
        <v>130</v>
      </c>
      <c r="H72">
        <v>5</v>
      </c>
      <c r="I72">
        <v>152</v>
      </c>
      <c r="J72">
        <v>182</v>
      </c>
      <c r="K72">
        <v>7</v>
      </c>
      <c r="L72">
        <v>18596.402849268499</v>
      </c>
      <c r="M72">
        <v>1139.9359449999999</v>
      </c>
      <c r="N72">
        <v>18254.059799364299</v>
      </c>
      <c r="O72">
        <v>1156.1179509999999</v>
      </c>
      <c r="P72">
        <v>1</v>
      </c>
      <c r="Q72" s="1">
        <v>7.4670263646581204E-4</v>
      </c>
      <c r="R72">
        <v>1.0701046805884899E-2</v>
      </c>
      <c r="S72">
        <v>-1.02013238889655E-2</v>
      </c>
      <c r="Y72">
        <f t="shared" si="1"/>
        <v>242</v>
      </c>
    </row>
    <row r="73" spans="1:25" x14ac:dyDescent="0.25">
      <c r="A73" t="s">
        <v>39</v>
      </c>
      <c r="B73">
        <v>70692</v>
      </c>
      <c r="C73">
        <v>130592</v>
      </c>
      <c r="D73">
        <v>138143</v>
      </c>
      <c r="E73">
        <v>3</v>
      </c>
      <c r="F73">
        <v>40</v>
      </c>
      <c r="G73">
        <v>130</v>
      </c>
      <c r="H73">
        <v>5</v>
      </c>
      <c r="I73">
        <v>152</v>
      </c>
      <c r="J73">
        <v>188</v>
      </c>
      <c r="K73">
        <v>7</v>
      </c>
      <c r="L73">
        <v>18596.402849268499</v>
      </c>
      <c r="M73">
        <v>1139.9359449999999</v>
      </c>
      <c r="N73">
        <v>18229.744525925798</v>
      </c>
      <c r="O73">
        <v>1157.244005</v>
      </c>
      <c r="P73">
        <v>2</v>
      </c>
      <c r="Q73" s="1">
        <v>8.7607522381327697E-4</v>
      </c>
      <c r="R73" s="1">
        <v>8.9309685228910996E-4</v>
      </c>
      <c r="S73" s="1">
        <v>-3.7635230689392303E-4</v>
      </c>
      <c r="Y73">
        <f t="shared" si="1"/>
        <v>242</v>
      </c>
    </row>
    <row r="74" spans="1:25" x14ac:dyDescent="0.25">
      <c r="A74" t="s">
        <v>39</v>
      </c>
      <c r="B74">
        <v>70692</v>
      </c>
      <c r="C74">
        <v>130592</v>
      </c>
      <c r="D74">
        <v>138143</v>
      </c>
      <c r="E74">
        <v>3</v>
      </c>
      <c r="F74">
        <v>40</v>
      </c>
      <c r="G74">
        <v>130</v>
      </c>
      <c r="H74">
        <v>5</v>
      </c>
      <c r="I74">
        <v>152</v>
      </c>
      <c r="J74">
        <v>180</v>
      </c>
      <c r="K74">
        <v>7</v>
      </c>
      <c r="L74">
        <v>18596.402849268499</v>
      </c>
      <c r="M74">
        <v>1139.9359449999999</v>
      </c>
      <c r="N74">
        <v>18091.252226105302</v>
      </c>
      <c r="O74">
        <v>1164.7041160000001</v>
      </c>
      <c r="P74">
        <v>1</v>
      </c>
      <c r="Q74">
        <v>4.9898543345059301E-3</v>
      </c>
      <c r="R74">
        <v>5.9167692240604799E-3</v>
      </c>
      <c r="S74">
        <v>-4.4731097891107501E-3</v>
      </c>
      <c r="Y74">
        <f t="shared" si="1"/>
        <v>242</v>
      </c>
    </row>
    <row r="75" spans="1:25" x14ac:dyDescent="0.25">
      <c r="A75" t="s">
        <v>39</v>
      </c>
      <c r="B75">
        <v>70692</v>
      </c>
      <c r="C75">
        <v>130592</v>
      </c>
      <c r="D75">
        <v>138143</v>
      </c>
      <c r="E75">
        <v>3</v>
      </c>
      <c r="F75">
        <v>40</v>
      </c>
      <c r="G75">
        <v>130</v>
      </c>
      <c r="H75">
        <v>5</v>
      </c>
      <c r="I75">
        <v>152</v>
      </c>
      <c r="J75">
        <v>182</v>
      </c>
      <c r="K75">
        <v>7</v>
      </c>
      <c r="L75">
        <v>18596.402849268499</v>
      </c>
      <c r="M75">
        <v>1139.9359449999999</v>
      </c>
      <c r="N75">
        <v>17981.703106362798</v>
      </c>
      <c r="O75">
        <v>1213.0767000000001</v>
      </c>
      <c r="P75">
        <v>1</v>
      </c>
      <c r="Q75">
        <v>3.9470364106649596E-3</v>
      </c>
      <c r="R75">
        <v>3.8365302647569502E-2</v>
      </c>
      <c r="S75">
        <v>-2.5033769757152298E-3</v>
      </c>
      <c r="Y75">
        <f t="shared" si="1"/>
        <v>242</v>
      </c>
    </row>
    <row r="76" spans="1:25" x14ac:dyDescent="0.25">
      <c r="A76" t="s">
        <v>40</v>
      </c>
      <c r="B76">
        <v>61913</v>
      </c>
      <c r="C76">
        <v>125059</v>
      </c>
      <c r="D76">
        <v>138143</v>
      </c>
      <c r="E76">
        <v>3</v>
      </c>
      <c r="F76">
        <v>40</v>
      </c>
      <c r="G76">
        <v>122</v>
      </c>
      <c r="H76">
        <v>5</v>
      </c>
      <c r="I76">
        <v>154</v>
      </c>
      <c r="J76">
        <v>178</v>
      </c>
      <c r="K76">
        <v>2</v>
      </c>
      <c r="L76">
        <v>24009.078401543298</v>
      </c>
      <c r="M76">
        <v>898.75042799999903</v>
      </c>
      <c r="N76">
        <v>23983.886464264098</v>
      </c>
      <c r="O76">
        <v>863.23547299999996</v>
      </c>
      <c r="P76">
        <v>6</v>
      </c>
      <c r="Q76">
        <v>0</v>
      </c>
      <c r="R76">
        <v>0</v>
      </c>
      <c r="S76">
        <v>-3.2138385405361701E-2</v>
      </c>
      <c r="Y76">
        <f t="shared" si="1"/>
        <v>236</v>
      </c>
    </row>
    <row r="77" spans="1:25" x14ac:dyDescent="0.25">
      <c r="A77" t="s">
        <v>40</v>
      </c>
      <c r="B77">
        <v>61913</v>
      </c>
      <c r="C77">
        <v>125059</v>
      </c>
      <c r="D77">
        <v>138143</v>
      </c>
      <c r="E77">
        <v>3</v>
      </c>
      <c r="F77">
        <v>40</v>
      </c>
      <c r="G77">
        <v>122</v>
      </c>
      <c r="H77">
        <v>5</v>
      </c>
      <c r="I77">
        <v>154</v>
      </c>
      <c r="J77">
        <v>170</v>
      </c>
      <c r="K77">
        <v>2</v>
      </c>
      <c r="L77">
        <v>24009.078401543298</v>
      </c>
      <c r="M77">
        <v>898.75042799999903</v>
      </c>
      <c r="N77">
        <v>23969.754685452499</v>
      </c>
      <c r="O77">
        <v>872.89192899999898</v>
      </c>
      <c r="P77">
        <v>7</v>
      </c>
      <c r="Q77" s="1">
        <v>5.4374912322918603E-4</v>
      </c>
      <c r="R77">
        <v>8.47481834153096E-3</v>
      </c>
      <c r="S77">
        <v>-3.2682134528590902E-2</v>
      </c>
      <c r="Y77">
        <f t="shared" si="1"/>
        <v>236</v>
      </c>
    </row>
    <row r="78" spans="1:25" x14ac:dyDescent="0.25">
      <c r="A78" t="s">
        <v>41</v>
      </c>
      <c r="B78">
        <v>65813</v>
      </c>
      <c r="C78">
        <v>124534</v>
      </c>
      <c r="D78">
        <v>138143</v>
      </c>
      <c r="E78">
        <v>3</v>
      </c>
      <c r="F78">
        <v>40</v>
      </c>
      <c r="G78">
        <v>122</v>
      </c>
      <c r="H78">
        <v>4</v>
      </c>
      <c r="I78">
        <v>128</v>
      </c>
      <c r="J78">
        <v>158</v>
      </c>
      <c r="K78">
        <v>4</v>
      </c>
      <c r="L78">
        <v>19004.7766745105</v>
      </c>
      <c r="M78">
        <v>1186.089217</v>
      </c>
      <c r="N78">
        <v>18766.759042781701</v>
      </c>
      <c r="O78">
        <v>1158.107671</v>
      </c>
      <c r="P78">
        <v>1</v>
      </c>
      <c r="Q78">
        <v>0</v>
      </c>
      <c r="R78">
        <v>0</v>
      </c>
      <c r="S78">
        <v>-3.0264297820523402E-2</v>
      </c>
      <c r="Y78">
        <f t="shared" si="1"/>
        <v>210</v>
      </c>
    </row>
    <row r="79" spans="1:25" x14ac:dyDescent="0.25">
      <c r="A79" t="s">
        <v>41</v>
      </c>
      <c r="B79">
        <v>65813</v>
      </c>
      <c r="C79">
        <v>124534</v>
      </c>
      <c r="D79">
        <v>138143</v>
      </c>
      <c r="E79">
        <v>3</v>
      </c>
      <c r="F79">
        <v>40</v>
      </c>
      <c r="G79">
        <v>122</v>
      </c>
      <c r="H79">
        <v>4</v>
      </c>
      <c r="I79">
        <v>128</v>
      </c>
      <c r="J79">
        <v>158</v>
      </c>
      <c r="K79">
        <v>4</v>
      </c>
      <c r="L79">
        <v>19004.7766745105</v>
      </c>
      <c r="M79">
        <v>1186.089217</v>
      </c>
      <c r="N79">
        <v>18744.775080268799</v>
      </c>
      <c r="O79">
        <v>1178.1315199999999</v>
      </c>
      <c r="P79">
        <v>2</v>
      </c>
      <c r="Q79" s="1">
        <v>7.9726762197462799E-4</v>
      </c>
      <c r="R79">
        <v>1.54803282346021E-2</v>
      </c>
      <c r="S79">
        <v>-3.1061565442497999E-2</v>
      </c>
      <c r="Y79">
        <f t="shared" si="1"/>
        <v>210</v>
      </c>
    </row>
    <row r="80" spans="1:25" x14ac:dyDescent="0.25">
      <c r="A80" t="s">
        <v>41</v>
      </c>
      <c r="B80">
        <v>65813</v>
      </c>
      <c r="C80">
        <v>124534</v>
      </c>
      <c r="D80">
        <v>138143</v>
      </c>
      <c r="E80">
        <v>3</v>
      </c>
      <c r="F80">
        <v>40</v>
      </c>
      <c r="G80">
        <v>122</v>
      </c>
      <c r="H80">
        <v>4</v>
      </c>
      <c r="I80">
        <v>128</v>
      </c>
      <c r="J80">
        <v>158</v>
      </c>
      <c r="K80">
        <v>4</v>
      </c>
      <c r="L80">
        <v>19004.7766745105</v>
      </c>
      <c r="M80">
        <v>1186.089217</v>
      </c>
      <c r="N80">
        <v>18697.208042361199</v>
      </c>
      <c r="O80">
        <v>1185.8569680000001</v>
      </c>
      <c r="P80">
        <v>5</v>
      </c>
      <c r="Q80">
        <v>1.7250602194505099E-3</v>
      </c>
      <c r="R80">
        <v>5.9725016303985301E-3</v>
      </c>
      <c r="S80">
        <v>-1.73062974273464E-2</v>
      </c>
      <c r="Y80">
        <f t="shared" si="1"/>
        <v>210</v>
      </c>
    </row>
    <row r="81" spans="1:25" x14ac:dyDescent="0.25">
      <c r="A81" t="s">
        <v>41</v>
      </c>
      <c r="B81">
        <v>65813</v>
      </c>
      <c r="C81">
        <v>124534</v>
      </c>
      <c r="D81">
        <v>138143</v>
      </c>
      <c r="E81">
        <v>3</v>
      </c>
      <c r="F81">
        <v>40</v>
      </c>
      <c r="G81">
        <v>122</v>
      </c>
      <c r="H81">
        <v>4</v>
      </c>
      <c r="I81">
        <v>128</v>
      </c>
      <c r="J81">
        <v>152</v>
      </c>
      <c r="K81">
        <v>4</v>
      </c>
      <c r="L81">
        <v>19004.7766745105</v>
      </c>
      <c r="M81">
        <v>1186.089217</v>
      </c>
      <c r="N81">
        <v>18592.898622330398</v>
      </c>
      <c r="O81">
        <v>1201.2518660000001</v>
      </c>
      <c r="P81">
        <v>3</v>
      </c>
      <c r="Q81">
        <v>3.7828723192505601E-3</v>
      </c>
      <c r="R81">
        <v>1.1901711513017299E-2</v>
      </c>
      <c r="S81">
        <v>-1.51166681161984E-2</v>
      </c>
      <c r="Y81">
        <f t="shared" si="1"/>
        <v>210</v>
      </c>
    </row>
    <row r="82" spans="1:25" x14ac:dyDescent="0.25">
      <c r="A82" t="s">
        <v>42</v>
      </c>
      <c r="B82">
        <v>70984</v>
      </c>
      <c r="C82">
        <v>23380</v>
      </c>
      <c r="D82">
        <v>138143</v>
      </c>
      <c r="E82">
        <v>3</v>
      </c>
      <c r="F82">
        <v>40</v>
      </c>
      <c r="G82">
        <v>127</v>
      </c>
      <c r="H82">
        <v>5</v>
      </c>
      <c r="I82">
        <v>138</v>
      </c>
      <c r="J82">
        <v>172</v>
      </c>
      <c r="K82">
        <v>1</v>
      </c>
      <c r="L82">
        <v>24817.480132713601</v>
      </c>
      <c r="M82">
        <v>504.33429699999999</v>
      </c>
      <c r="N82">
        <v>24543.3070306277</v>
      </c>
      <c r="O82">
        <v>468.78203600000001</v>
      </c>
      <c r="P82">
        <v>25</v>
      </c>
      <c r="Q82">
        <v>0</v>
      </c>
      <c r="R82">
        <v>0</v>
      </c>
      <c r="S82">
        <v>-4.4955881413040397E-2</v>
      </c>
      <c r="Y82">
        <f t="shared" si="1"/>
        <v>225</v>
      </c>
    </row>
    <row r="83" spans="1:25" x14ac:dyDescent="0.25">
      <c r="A83" t="s">
        <v>43</v>
      </c>
      <c r="B83">
        <v>45346</v>
      </c>
      <c r="C83">
        <v>129404</v>
      </c>
      <c r="D83">
        <v>138143</v>
      </c>
      <c r="E83">
        <v>3</v>
      </c>
      <c r="F83">
        <v>40</v>
      </c>
      <c r="G83">
        <v>94</v>
      </c>
      <c r="H83">
        <v>7</v>
      </c>
      <c r="I83">
        <v>102</v>
      </c>
      <c r="J83">
        <v>102</v>
      </c>
      <c r="K83">
        <v>4</v>
      </c>
      <c r="L83">
        <v>3294.5665410660899</v>
      </c>
      <c r="M83">
        <v>320.90756099999999</v>
      </c>
      <c r="N83">
        <v>3294.5665410660899</v>
      </c>
      <c r="O83">
        <v>320.90756099999999</v>
      </c>
      <c r="P83">
        <v>1</v>
      </c>
      <c r="Q83">
        <v>0</v>
      </c>
      <c r="R83">
        <v>0</v>
      </c>
      <c r="S83">
        <v>0</v>
      </c>
      <c r="Y83">
        <f t="shared" si="1"/>
        <v>156</v>
      </c>
    </row>
    <row r="84" spans="1:25" x14ac:dyDescent="0.25">
      <c r="A84" t="s">
        <v>43</v>
      </c>
      <c r="B84">
        <v>45346</v>
      </c>
      <c r="C84">
        <v>129404</v>
      </c>
      <c r="D84">
        <v>138143</v>
      </c>
      <c r="E84">
        <v>3</v>
      </c>
      <c r="F84">
        <v>40</v>
      </c>
      <c r="G84">
        <v>94</v>
      </c>
      <c r="H84">
        <v>7</v>
      </c>
      <c r="I84">
        <v>102</v>
      </c>
      <c r="J84">
        <v>118</v>
      </c>
      <c r="K84">
        <v>4</v>
      </c>
      <c r="L84">
        <v>3294.5665410660899</v>
      </c>
      <c r="M84">
        <v>320.90756099999999</v>
      </c>
      <c r="N84">
        <v>2682.0770301878902</v>
      </c>
      <c r="O84">
        <v>350.19389699999999</v>
      </c>
      <c r="P84">
        <v>1</v>
      </c>
      <c r="Q84">
        <v>2.1928970544922499E-2</v>
      </c>
      <c r="R84">
        <v>2.6306488767198401E-2</v>
      </c>
      <c r="S84">
        <v>-2.1928970544922499E-2</v>
      </c>
      <c r="Y84">
        <f t="shared" si="1"/>
        <v>156</v>
      </c>
    </row>
    <row r="85" spans="1:25" x14ac:dyDescent="0.25">
      <c r="A85" t="s">
        <v>43</v>
      </c>
      <c r="B85">
        <v>45346</v>
      </c>
      <c r="C85">
        <v>129404</v>
      </c>
      <c r="D85">
        <v>138143</v>
      </c>
      <c r="E85">
        <v>3</v>
      </c>
      <c r="F85">
        <v>40</v>
      </c>
      <c r="G85">
        <v>94</v>
      </c>
      <c r="H85">
        <v>7</v>
      </c>
      <c r="I85">
        <v>102</v>
      </c>
      <c r="J85">
        <v>132</v>
      </c>
      <c r="K85">
        <v>4</v>
      </c>
      <c r="L85">
        <v>3294.5665410660899</v>
      </c>
      <c r="M85">
        <v>320.90756099999999</v>
      </c>
      <c r="N85">
        <v>2668.4009771060901</v>
      </c>
      <c r="O85">
        <v>360.85368299999999</v>
      </c>
      <c r="P85">
        <v>2</v>
      </c>
      <c r="Q85" s="1">
        <v>4.8964392022272896E-4</v>
      </c>
      <c r="R85">
        <v>9.5751664076291695E-3</v>
      </c>
      <c r="S85">
        <v>3.8878743020531298E-3</v>
      </c>
      <c r="Y85">
        <f t="shared" si="1"/>
        <v>156</v>
      </c>
    </row>
    <row r="86" spans="1:25" x14ac:dyDescent="0.25">
      <c r="A86" t="s">
        <v>43</v>
      </c>
      <c r="B86">
        <v>45346</v>
      </c>
      <c r="C86">
        <v>129404</v>
      </c>
      <c r="D86">
        <v>138143</v>
      </c>
      <c r="E86">
        <v>3</v>
      </c>
      <c r="F86">
        <v>40</v>
      </c>
      <c r="G86">
        <v>94</v>
      </c>
      <c r="H86">
        <v>7</v>
      </c>
      <c r="I86">
        <v>102</v>
      </c>
      <c r="J86">
        <v>128</v>
      </c>
      <c r="K86">
        <v>4</v>
      </c>
      <c r="L86">
        <v>3294.5665410660899</v>
      </c>
      <c r="M86">
        <v>320.90756099999999</v>
      </c>
      <c r="N86">
        <v>2252.04926483486</v>
      </c>
      <c r="O86">
        <v>369.59319199999999</v>
      </c>
      <c r="P86">
        <v>3</v>
      </c>
      <c r="Q86">
        <v>1.4906646191594101E-2</v>
      </c>
      <c r="R86">
        <v>7.8502751364776194E-3</v>
      </c>
      <c r="S86">
        <v>-1.44360548191184E-3</v>
      </c>
      <c r="Y86">
        <f t="shared" si="1"/>
        <v>156</v>
      </c>
    </row>
    <row r="87" spans="1:25" x14ac:dyDescent="0.25">
      <c r="A87" t="s">
        <v>44</v>
      </c>
      <c r="B87">
        <v>61710</v>
      </c>
      <c r="C87">
        <v>1</v>
      </c>
      <c r="D87">
        <v>138143</v>
      </c>
      <c r="E87">
        <v>3</v>
      </c>
      <c r="F87">
        <v>40</v>
      </c>
      <c r="G87">
        <v>109</v>
      </c>
      <c r="H87">
        <v>5</v>
      </c>
      <c r="I87">
        <v>134</v>
      </c>
      <c r="J87">
        <v>134</v>
      </c>
      <c r="K87">
        <v>1</v>
      </c>
      <c r="L87">
        <v>9801.9939320690792</v>
      </c>
      <c r="M87">
        <v>1135.667342</v>
      </c>
      <c r="N87">
        <v>9801.9939320690792</v>
      </c>
      <c r="O87">
        <v>1135.667342</v>
      </c>
      <c r="P87">
        <v>1</v>
      </c>
      <c r="Q87">
        <v>0</v>
      </c>
      <c r="R87">
        <v>0</v>
      </c>
      <c r="S87">
        <v>0</v>
      </c>
      <c r="Y87">
        <f t="shared" si="1"/>
        <v>203</v>
      </c>
    </row>
    <row r="88" spans="1:25" x14ac:dyDescent="0.25">
      <c r="A88" t="s">
        <v>45</v>
      </c>
      <c r="B88">
        <v>66014</v>
      </c>
      <c r="C88">
        <v>112771</v>
      </c>
      <c r="D88">
        <v>138143</v>
      </c>
      <c r="E88">
        <v>3</v>
      </c>
      <c r="F88">
        <v>40</v>
      </c>
      <c r="G88">
        <v>138</v>
      </c>
      <c r="H88">
        <v>4</v>
      </c>
      <c r="I88">
        <v>152</v>
      </c>
      <c r="J88">
        <v>152</v>
      </c>
      <c r="K88">
        <v>5</v>
      </c>
      <c r="L88">
        <v>5915.07614943098</v>
      </c>
      <c r="M88">
        <v>208.684753</v>
      </c>
      <c r="N88">
        <v>5915.07614943098</v>
      </c>
      <c r="O88">
        <v>208.684753</v>
      </c>
      <c r="P88">
        <v>3</v>
      </c>
      <c r="Q88">
        <v>0</v>
      </c>
      <c r="R88">
        <v>0</v>
      </c>
      <c r="S88">
        <v>0</v>
      </c>
      <c r="Y88">
        <f t="shared" si="1"/>
        <v>250</v>
      </c>
    </row>
    <row r="89" spans="1:25" x14ac:dyDescent="0.25">
      <c r="A89" t="s">
        <v>45</v>
      </c>
      <c r="B89">
        <v>66014</v>
      </c>
      <c r="C89">
        <v>112771</v>
      </c>
      <c r="D89">
        <v>138143</v>
      </c>
      <c r="E89">
        <v>3</v>
      </c>
      <c r="F89">
        <v>40</v>
      </c>
      <c r="G89">
        <v>138</v>
      </c>
      <c r="H89">
        <v>4</v>
      </c>
      <c r="I89">
        <v>152</v>
      </c>
      <c r="J89">
        <v>178</v>
      </c>
      <c r="K89">
        <v>5</v>
      </c>
      <c r="L89">
        <v>5915.07614943098</v>
      </c>
      <c r="M89">
        <v>208.684753</v>
      </c>
      <c r="N89">
        <v>5254.4342156411703</v>
      </c>
      <c r="O89">
        <v>239.96578199999999</v>
      </c>
      <c r="P89">
        <v>1</v>
      </c>
      <c r="Q89">
        <v>2.4022332440479501E-2</v>
      </c>
      <c r="R89">
        <v>2.3256970504656398E-2</v>
      </c>
      <c r="S89">
        <v>-2.4022332440479501E-2</v>
      </c>
      <c r="Y89">
        <f t="shared" si="1"/>
        <v>250</v>
      </c>
    </row>
    <row r="90" spans="1:25" x14ac:dyDescent="0.25">
      <c r="A90" t="s">
        <v>45</v>
      </c>
      <c r="B90">
        <v>66014</v>
      </c>
      <c r="C90">
        <v>112771</v>
      </c>
      <c r="D90">
        <v>138143</v>
      </c>
      <c r="E90">
        <v>3</v>
      </c>
      <c r="F90">
        <v>40</v>
      </c>
      <c r="G90">
        <v>138</v>
      </c>
      <c r="H90">
        <v>4</v>
      </c>
      <c r="I90">
        <v>152</v>
      </c>
      <c r="J90">
        <v>176</v>
      </c>
      <c r="K90">
        <v>5</v>
      </c>
      <c r="L90">
        <v>5915.07614943098</v>
      </c>
      <c r="M90">
        <v>208.684753</v>
      </c>
      <c r="N90">
        <v>4985.4839399382799</v>
      </c>
      <c r="O90">
        <v>259.06846999999999</v>
      </c>
      <c r="P90">
        <v>3</v>
      </c>
      <c r="Q90">
        <v>9.7795986031805303E-3</v>
      </c>
      <c r="R90">
        <v>1.4202558725790401E-2</v>
      </c>
      <c r="S90">
        <v>-1.0544960539003599E-2</v>
      </c>
      <c r="Y90">
        <f t="shared" si="1"/>
        <v>250</v>
      </c>
    </row>
    <row r="91" spans="1:25" x14ac:dyDescent="0.25">
      <c r="A91" t="s">
        <v>45</v>
      </c>
      <c r="B91">
        <v>66014</v>
      </c>
      <c r="C91">
        <v>112771</v>
      </c>
      <c r="D91">
        <v>138143</v>
      </c>
      <c r="E91">
        <v>3</v>
      </c>
      <c r="F91">
        <v>40</v>
      </c>
      <c r="G91">
        <v>138</v>
      </c>
      <c r="H91">
        <v>4</v>
      </c>
      <c r="I91">
        <v>152</v>
      </c>
      <c r="J91">
        <v>182</v>
      </c>
      <c r="K91">
        <v>5</v>
      </c>
      <c r="L91">
        <v>5915.07614943098</v>
      </c>
      <c r="M91">
        <v>208.684753</v>
      </c>
      <c r="N91">
        <v>4846.1018036834303</v>
      </c>
      <c r="O91">
        <v>260.538183</v>
      </c>
      <c r="P91">
        <v>1</v>
      </c>
      <c r="Q91">
        <v>5.06822810076645E-3</v>
      </c>
      <c r="R91">
        <v>1.0927093188433899E-3</v>
      </c>
      <c r="S91">
        <v>-1.4106299139796099E-3</v>
      </c>
      <c r="Y91">
        <f t="shared" si="1"/>
        <v>250</v>
      </c>
    </row>
    <row r="92" spans="1:25" x14ac:dyDescent="0.25">
      <c r="A92" t="s">
        <v>45</v>
      </c>
      <c r="B92">
        <v>66014</v>
      </c>
      <c r="C92">
        <v>112771</v>
      </c>
      <c r="D92">
        <v>138143</v>
      </c>
      <c r="E92">
        <v>3</v>
      </c>
      <c r="F92">
        <v>40</v>
      </c>
      <c r="G92">
        <v>138</v>
      </c>
      <c r="H92">
        <v>4</v>
      </c>
      <c r="I92">
        <v>152</v>
      </c>
      <c r="J92">
        <v>182</v>
      </c>
      <c r="K92">
        <v>5</v>
      </c>
      <c r="L92">
        <v>5915.07614943098</v>
      </c>
      <c r="M92">
        <v>208.684753</v>
      </c>
      <c r="N92">
        <v>4641.4175967339697</v>
      </c>
      <c r="O92">
        <v>263.36072799999999</v>
      </c>
      <c r="P92">
        <v>3</v>
      </c>
      <c r="Q92">
        <v>7.4427489585004699E-3</v>
      </c>
      <c r="R92">
        <v>2.09851938735985E-3</v>
      </c>
      <c r="S92">
        <v>-7.7606695536366899E-3</v>
      </c>
      <c r="Y92">
        <f t="shared" si="1"/>
        <v>250</v>
      </c>
    </row>
    <row r="93" spans="1:25" x14ac:dyDescent="0.25">
      <c r="A93" t="s">
        <v>46</v>
      </c>
      <c r="B93">
        <v>96563</v>
      </c>
      <c r="C93">
        <v>47655</v>
      </c>
      <c r="D93">
        <v>138143</v>
      </c>
      <c r="E93">
        <v>3</v>
      </c>
      <c r="F93">
        <v>40</v>
      </c>
      <c r="G93">
        <v>168</v>
      </c>
      <c r="H93">
        <v>5</v>
      </c>
      <c r="I93">
        <v>188</v>
      </c>
      <c r="J93">
        <v>202</v>
      </c>
      <c r="K93">
        <v>1</v>
      </c>
      <c r="L93">
        <v>8451.1254937522099</v>
      </c>
      <c r="M93">
        <v>1806.4696819999999</v>
      </c>
      <c r="N93">
        <v>8304.1290837010893</v>
      </c>
      <c r="O93">
        <v>1794.930942</v>
      </c>
      <c r="P93">
        <v>1</v>
      </c>
      <c r="Q93">
        <v>0</v>
      </c>
      <c r="R93">
        <v>0</v>
      </c>
      <c r="S93">
        <v>-1.17918977762064E-2</v>
      </c>
      <c r="Y93">
        <f t="shared" si="1"/>
        <v>316</v>
      </c>
    </row>
    <row r="94" spans="1:25" x14ac:dyDescent="0.25">
      <c r="A94" t="s">
        <v>47</v>
      </c>
      <c r="B94">
        <v>85596</v>
      </c>
      <c r="C94">
        <v>7825</v>
      </c>
      <c r="D94">
        <v>138143</v>
      </c>
      <c r="E94">
        <v>3</v>
      </c>
      <c r="F94">
        <v>40</v>
      </c>
      <c r="G94">
        <v>150</v>
      </c>
      <c r="H94">
        <v>5</v>
      </c>
      <c r="I94">
        <v>166</v>
      </c>
      <c r="J94">
        <v>216</v>
      </c>
      <c r="K94">
        <v>1</v>
      </c>
      <c r="L94">
        <v>9618.2180998358908</v>
      </c>
      <c r="M94">
        <v>795.76554399999895</v>
      </c>
      <c r="N94">
        <v>9618.2180998358908</v>
      </c>
      <c r="O94">
        <v>782.35555199999897</v>
      </c>
      <c r="P94">
        <v>7</v>
      </c>
      <c r="Q94">
        <v>0</v>
      </c>
      <c r="R94">
        <v>0</v>
      </c>
      <c r="S94">
        <v>-9.0442468621464399E-3</v>
      </c>
      <c r="Y94">
        <f t="shared" si="1"/>
        <v>276</v>
      </c>
    </row>
    <row r="95" spans="1:25" x14ac:dyDescent="0.25">
      <c r="A95" t="s">
        <v>48</v>
      </c>
      <c r="B95">
        <v>46271</v>
      </c>
      <c r="C95">
        <v>105108</v>
      </c>
      <c r="D95">
        <v>138143</v>
      </c>
      <c r="E95">
        <v>3</v>
      </c>
      <c r="F95">
        <v>40</v>
      </c>
      <c r="G95">
        <v>98</v>
      </c>
      <c r="H95">
        <v>5</v>
      </c>
      <c r="I95">
        <v>88</v>
      </c>
      <c r="J95">
        <v>88</v>
      </c>
      <c r="K95">
        <v>2</v>
      </c>
      <c r="L95">
        <v>9037.4940381216893</v>
      </c>
      <c r="M95">
        <v>160.40758500000001</v>
      </c>
      <c r="N95">
        <v>9037.4940381216893</v>
      </c>
      <c r="O95">
        <v>160.40758500000001</v>
      </c>
      <c r="P95">
        <v>1</v>
      </c>
      <c r="Q95">
        <v>0</v>
      </c>
      <c r="R95">
        <v>0</v>
      </c>
      <c r="S95">
        <v>0</v>
      </c>
      <c r="Y95">
        <f t="shared" si="1"/>
        <v>146</v>
      </c>
    </row>
    <row r="96" spans="1:25" x14ac:dyDescent="0.25">
      <c r="A96" t="s">
        <v>48</v>
      </c>
      <c r="B96">
        <v>46271</v>
      </c>
      <c r="C96">
        <v>105108</v>
      </c>
      <c r="D96">
        <v>138143</v>
      </c>
      <c r="E96">
        <v>3</v>
      </c>
      <c r="F96">
        <v>40</v>
      </c>
      <c r="G96">
        <v>98</v>
      </c>
      <c r="H96">
        <v>5</v>
      </c>
      <c r="I96">
        <v>88</v>
      </c>
      <c r="J96">
        <v>124</v>
      </c>
      <c r="K96">
        <v>2</v>
      </c>
      <c r="L96">
        <v>9037.4940381216893</v>
      </c>
      <c r="M96">
        <v>160.40758500000001</v>
      </c>
      <c r="N96">
        <v>8797.0648521002095</v>
      </c>
      <c r="O96">
        <v>171.76745700000001</v>
      </c>
      <c r="P96">
        <v>1</v>
      </c>
      <c r="Q96">
        <v>8.6073959155871793E-3</v>
      </c>
      <c r="R96">
        <v>1.1944036151589701E-2</v>
      </c>
      <c r="S96">
        <v>-8.6073959155871793E-3</v>
      </c>
      <c r="Y96">
        <f t="shared" si="1"/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P3_40_summary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Cardoso</cp:lastModifiedBy>
  <dcterms:created xsi:type="dcterms:W3CDTF">2026-09-10T13:09:27Z</dcterms:created>
  <dcterms:modified xsi:type="dcterms:W3CDTF">2026-09-10T15:26:19Z</dcterms:modified>
</cp:coreProperties>
</file>