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nas Normais\cardosop\BPMN_Risk_Artigo\results\"/>
    </mc:Choice>
  </mc:AlternateContent>
  <xr:revisionPtr revIDLastSave="0" documentId="8_{EFC9AFB2-AA02-4FA2-AD84-348D4C97C3BC}" xr6:coauthVersionLast="47" xr6:coauthVersionMax="47" xr10:uidLastSave="{00000000-0000-0000-0000-000000000000}"/>
  <bookViews>
    <workbookView xWindow="-120" yWindow="-120" windowWidth="29040" windowHeight="15840" xr2:uid="{4D7179A7-A826-4208-890F-CADD0DC2D442}"/>
  </bookViews>
  <sheets>
    <sheet name="P3_30_summary" sheetId="1" r:id="rId1"/>
  </sheets>
  <calcPr calcId="0"/>
</workbook>
</file>

<file path=xl/calcChain.xml><?xml version="1.0" encoding="utf-8"?>
<calcChain xmlns="http://schemas.openxmlformats.org/spreadsheetml/2006/main">
  <c r="AA2" i="1" l="1"/>
  <c r="Z2" i="1"/>
  <c r="Y2" i="1"/>
  <c r="X2" i="1"/>
  <c r="W2" i="1"/>
  <c r="V2" i="1"/>
</calcChain>
</file>

<file path=xl/sharedStrings.xml><?xml version="1.0" encoding="utf-8"?>
<sst xmlns="http://schemas.openxmlformats.org/spreadsheetml/2006/main" count="55" uniqueCount="55">
  <si>
    <t>Name</t>
  </si>
  <si>
    <t>ExecutTime</t>
  </si>
  <si>
    <t>StabIt</t>
  </si>
  <si>
    <t>TotalIt</t>
  </si>
  <si>
    <t>#Participants</t>
  </si>
  <si>
    <t>#MutNodes</t>
  </si>
  <si>
    <t>#Nodes</t>
  </si>
  <si>
    <t>#Splits</t>
  </si>
  <si>
    <t>Init#Comms</t>
  </si>
  <si>
    <t>Optimal#Comms</t>
  </si>
  <si>
    <t>#OptimalSols</t>
  </si>
  <si>
    <t>InitRisk</t>
  </si>
  <si>
    <t>InitCost</t>
  </si>
  <si>
    <t>OptimalRisk</t>
  </si>
  <si>
    <t>OptimalCost</t>
  </si>
  <si>
    <t>#Configs</t>
  </si>
  <si>
    <t>RiskDist</t>
  </si>
  <si>
    <t>CostDist</t>
  </si>
  <si>
    <t>MonetaryTradeoff</t>
  </si>
  <si>
    <t>P3_30_1</t>
  </si>
  <si>
    <t>P3_30_10</t>
  </si>
  <si>
    <t>P3_30_11</t>
  </si>
  <si>
    <t>P3_30_12</t>
  </si>
  <si>
    <t>P3_30_13</t>
  </si>
  <si>
    <t>P3_30_14</t>
  </si>
  <si>
    <t>P3_30_15</t>
  </si>
  <si>
    <t>P3_30_16</t>
  </si>
  <si>
    <t>P3_30_17</t>
  </si>
  <si>
    <t>P3_30_18</t>
  </si>
  <si>
    <t>P3_30_19</t>
  </si>
  <si>
    <t>P3_30_2</t>
  </si>
  <si>
    <t>P3_30_20</t>
  </si>
  <si>
    <t>P3_30_21</t>
  </si>
  <si>
    <t>P3_30_22</t>
  </si>
  <si>
    <t>P3_30_23</t>
  </si>
  <si>
    <t>P3_30_24</t>
  </si>
  <si>
    <t>P3_30_25</t>
  </si>
  <si>
    <t>P3_30_26</t>
  </si>
  <si>
    <t>P3_30_27</t>
  </si>
  <si>
    <t>P3_30_28</t>
  </si>
  <si>
    <t>P3_30_29</t>
  </si>
  <si>
    <t>P3_30_3</t>
  </si>
  <si>
    <t>P3_30_30</t>
  </si>
  <si>
    <t>P3_30_4</t>
  </si>
  <si>
    <t>P3_30_5</t>
  </si>
  <si>
    <t>P3_30_6</t>
  </si>
  <si>
    <t>P3_30_7</t>
  </si>
  <si>
    <t>P3_30_8</t>
  </si>
  <si>
    <t>P3_30_9</t>
  </si>
  <si>
    <t>Two solutions (%)</t>
  </si>
  <si>
    <t>Three or more solutions (%)</t>
  </si>
  <si>
    <t>Max number solutions</t>
  </si>
  <si>
    <t>Average execution time (ms)</t>
  </si>
  <si>
    <t>Standard deviation execution time (ms)</t>
  </si>
  <si>
    <t>Average stabilising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</si>
</sst>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E692-8907-4903-8EF5-4CE22F420B8F}">
  <dimension ref="A1:AA31"/>
  <sheetViews>
    <sheetView tabSelected="1" topLeftCell="J1" workbookViewId="0">
      <selection activeCell="V1" sqref="V1:AA2"/>
    </sheetView>
  </sheetViews>
  <sheetFormatPr defaultRowHeight="15" x14ac:dyDescent="0.25"/>
  <cols>
    <col min="22" max="22" width="16.85546875" bestFit="1" customWidth="1"/>
    <col min="23" max="23" width="25.85546875" bestFit="1" customWidth="1"/>
    <col min="24" max="24" width="20.85546875" bestFit="1" customWidth="1"/>
    <col min="25" max="25" width="26.140625" bestFit="1" customWidth="1"/>
    <col min="26" max="26" width="36.140625" bestFit="1" customWidth="1"/>
    <col min="27" max="27" width="26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</row>
    <row r="2" spans="1:27" x14ac:dyDescent="0.25">
      <c r="A2" t="s">
        <v>19</v>
      </c>
      <c r="B2">
        <v>26586.2</v>
      </c>
      <c r="C2">
        <v>75478.5</v>
      </c>
      <c r="D2">
        <v>138143</v>
      </c>
      <c r="E2">
        <v>3</v>
      </c>
      <c r="F2">
        <v>30</v>
      </c>
      <c r="G2">
        <v>57</v>
      </c>
      <c r="H2">
        <v>3</v>
      </c>
      <c r="I2">
        <v>50</v>
      </c>
      <c r="J2">
        <v>72</v>
      </c>
      <c r="K2">
        <v>1</v>
      </c>
      <c r="L2">
        <v>8127.5644086767597</v>
      </c>
      <c r="M2">
        <v>251.979875999999</v>
      </c>
      <c r="N2">
        <v>8127.5644086767597</v>
      </c>
      <c r="O2">
        <v>213.25561299999899</v>
      </c>
      <c r="P2">
        <v>2</v>
      </c>
      <c r="Q2">
        <v>0</v>
      </c>
      <c r="R2">
        <v>0</v>
      </c>
      <c r="S2">
        <v>-6.51022297789281E-2</v>
      </c>
      <c r="V2">
        <f>COUNTIF($K2:$K31,2)/30</f>
        <v>0.26666666666666666</v>
      </c>
      <c r="W2">
        <f>COUNTIF($K2:$K31,"&gt;2")/30</f>
        <v>0.36666666666666664</v>
      </c>
      <c r="X2">
        <f>LARGE($K2:$K31,1)</f>
        <v>10</v>
      </c>
      <c r="Y2">
        <f>SUM($B2:$B31)/30</f>
        <v>23979.053333333333</v>
      </c>
      <c r="Z2">
        <f>_xlfn.STDEV.P($B2:$B31)</f>
        <v>3614.3962724760918</v>
      </c>
      <c r="AA2">
        <f>SUM($C2:$C31)/30</f>
        <v>64074.633333333324</v>
      </c>
    </row>
    <row r="3" spans="1:27" x14ac:dyDescent="0.25">
      <c r="A3" t="s">
        <v>20</v>
      </c>
      <c r="B3">
        <v>21748.9</v>
      </c>
      <c r="C3">
        <v>111671.4</v>
      </c>
      <c r="D3">
        <v>138143</v>
      </c>
      <c r="E3">
        <v>3</v>
      </c>
      <c r="F3">
        <v>30</v>
      </c>
      <c r="G3">
        <v>52</v>
      </c>
      <c r="H3">
        <v>2</v>
      </c>
      <c r="I3">
        <v>48</v>
      </c>
      <c r="J3">
        <v>48</v>
      </c>
      <c r="K3">
        <v>8</v>
      </c>
      <c r="L3">
        <v>3928.1137884729301</v>
      </c>
      <c r="M3">
        <v>335.77076</v>
      </c>
      <c r="N3">
        <v>3928.1137884729301</v>
      </c>
      <c r="O3">
        <v>335.77076</v>
      </c>
      <c r="P3">
        <v>1</v>
      </c>
      <c r="Q3">
        <v>0</v>
      </c>
      <c r="R3">
        <v>0</v>
      </c>
      <c r="S3">
        <v>0</v>
      </c>
    </row>
    <row r="4" spans="1:27" x14ac:dyDescent="0.25">
      <c r="A4" t="s">
        <v>21</v>
      </c>
      <c r="B4">
        <v>29820.5</v>
      </c>
      <c r="C4">
        <v>115372</v>
      </c>
      <c r="D4">
        <v>138143</v>
      </c>
      <c r="E4">
        <v>3</v>
      </c>
      <c r="F4">
        <v>30</v>
      </c>
      <c r="G4">
        <v>52</v>
      </c>
      <c r="H4">
        <v>3</v>
      </c>
      <c r="I4">
        <v>50</v>
      </c>
      <c r="J4">
        <v>48</v>
      </c>
      <c r="K4">
        <v>10</v>
      </c>
      <c r="L4">
        <v>9997.0586139178395</v>
      </c>
      <c r="M4">
        <v>343.55685499999902</v>
      </c>
      <c r="N4">
        <v>9946.2027221759108</v>
      </c>
      <c r="O4">
        <v>341.449784999999</v>
      </c>
      <c r="P4">
        <v>1</v>
      </c>
      <c r="Q4">
        <v>0</v>
      </c>
      <c r="R4">
        <v>0</v>
      </c>
      <c r="S4">
        <v>-5.8281253651246701E-3</v>
      </c>
    </row>
    <row r="5" spans="1:27" x14ac:dyDescent="0.25">
      <c r="A5" t="s">
        <v>22</v>
      </c>
      <c r="B5">
        <v>23485.4</v>
      </c>
      <c r="C5">
        <v>62116.2</v>
      </c>
      <c r="D5">
        <v>138143</v>
      </c>
      <c r="E5">
        <v>3</v>
      </c>
      <c r="F5">
        <v>30</v>
      </c>
      <c r="G5">
        <v>53</v>
      </c>
      <c r="H5">
        <v>3</v>
      </c>
      <c r="I5">
        <v>52</v>
      </c>
      <c r="J5">
        <v>54</v>
      </c>
      <c r="K5">
        <v>6</v>
      </c>
      <c r="L5">
        <v>5452.6501385537704</v>
      </c>
      <c r="M5">
        <v>364.02888300000001</v>
      </c>
      <c r="N5">
        <v>6334.9571862556304</v>
      </c>
      <c r="O5">
        <v>364.02833899999899</v>
      </c>
      <c r="P5">
        <v>1</v>
      </c>
      <c r="Q5">
        <v>0</v>
      </c>
      <c r="R5">
        <v>0</v>
      </c>
      <c r="S5">
        <v>3.2253757902134403E-2</v>
      </c>
    </row>
    <row r="6" spans="1:27" x14ac:dyDescent="0.25">
      <c r="A6" t="s">
        <v>23</v>
      </c>
      <c r="B6">
        <v>28450.7</v>
      </c>
      <c r="C6">
        <v>72574.100000000006</v>
      </c>
      <c r="D6">
        <v>138143</v>
      </c>
      <c r="E6">
        <v>3</v>
      </c>
      <c r="F6">
        <v>30</v>
      </c>
      <c r="G6">
        <v>64</v>
      </c>
      <c r="H6">
        <v>4</v>
      </c>
      <c r="I6">
        <v>58</v>
      </c>
      <c r="J6">
        <v>76</v>
      </c>
      <c r="K6">
        <v>1</v>
      </c>
      <c r="L6">
        <v>10272.5588986366</v>
      </c>
      <c r="M6">
        <v>250.19936100000001</v>
      </c>
      <c r="N6">
        <v>9521.0303156739192</v>
      </c>
      <c r="O6">
        <v>236.351822</v>
      </c>
      <c r="P6">
        <v>1</v>
      </c>
      <c r="Q6">
        <v>0</v>
      </c>
      <c r="R6">
        <v>0</v>
      </c>
      <c r="S6">
        <v>-4.8934962641514902E-2</v>
      </c>
    </row>
    <row r="7" spans="1:27" x14ac:dyDescent="0.25">
      <c r="A7" t="s">
        <v>24</v>
      </c>
      <c r="B7">
        <v>23502</v>
      </c>
      <c r="C7">
        <v>105005.7</v>
      </c>
      <c r="D7">
        <v>138143</v>
      </c>
      <c r="E7">
        <v>3</v>
      </c>
      <c r="F7">
        <v>30</v>
      </c>
      <c r="G7">
        <v>57</v>
      </c>
      <c r="H7">
        <v>4</v>
      </c>
      <c r="I7">
        <v>48</v>
      </c>
      <c r="J7">
        <v>76</v>
      </c>
      <c r="K7">
        <v>6</v>
      </c>
      <c r="L7">
        <v>11984.9972627426</v>
      </c>
      <c r="M7">
        <v>165.16266300000001</v>
      </c>
      <c r="N7">
        <v>11579.919464237</v>
      </c>
      <c r="O7">
        <v>155.68411399999999</v>
      </c>
      <c r="P7">
        <v>3</v>
      </c>
      <c r="Q7">
        <v>0</v>
      </c>
      <c r="R7">
        <v>0</v>
      </c>
      <c r="S7">
        <v>-3.14656249256558E-2</v>
      </c>
    </row>
    <row r="8" spans="1:27" x14ac:dyDescent="0.25">
      <c r="A8" t="s">
        <v>25</v>
      </c>
      <c r="B8">
        <v>22156.400000000001</v>
      </c>
      <c r="C8">
        <v>6793.2</v>
      </c>
      <c r="D8">
        <v>138143</v>
      </c>
      <c r="E8">
        <v>3</v>
      </c>
      <c r="F8">
        <v>30</v>
      </c>
      <c r="G8">
        <v>51</v>
      </c>
      <c r="H8">
        <v>4</v>
      </c>
      <c r="I8">
        <v>44</v>
      </c>
      <c r="J8">
        <v>74</v>
      </c>
      <c r="K8">
        <v>1</v>
      </c>
      <c r="L8">
        <v>3048.2747734956702</v>
      </c>
      <c r="M8">
        <v>60.998719999999999</v>
      </c>
      <c r="N8">
        <v>2867.12540605508</v>
      </c>
      <c r="O8">
        <v>58.687522999999999</v>
      </c>
      <c r="P8">
        <v>1826</v>
      </c>
      <c r="Q8">
        <v>0</v>
      </c>
      <c r="R8">
        <v>0</v>
      </c>
      <c r="S8">
        <v>-1.03961482857773E-2</v>
      </c>
    </row>
    <row r="9" spans="1:27" x14ac:dyDescent="0.25">
      <c r="A9" t="s">
        <v>26</v>
      </c>
      <c r="B9">
        <v>23126.799999999999</v>
      </c>
      <c r="C9">
        <v>77726.899999999994</v>
      </c>
      <c r="D9">
        <v>138143</v>
      </c>
      <c r="E9">
        <v>3</v>
      </c>
      <c r="F9">
        <v>30</v>
      </c>
      <c r="G9">
        <v>47</v>
      </c>
      <c r="H9">
        <v>3</v>
      </c>
      <c r="I9">
        <v>32</v>
      </c>
      <c r="J9">
        <v>32</v>
      </c>
      <c r="K9">
        <v>4</v>
      </c>
      <c r="L9">
        <v>5067.0465490719798</v>
      </c>
      <c r="M9">
        <v>239.63280399999999</v>
      </c>
      <c r="N9">
        <v>5067.0465490719798</v>
      </c>
      <c r="O9">
        <v>239.63280399999999</v>
      </c>
      <c r="P9">
        <v>2</v>
      </c>
      <c r="Q9">
        <v>0</v>
      </c>
      <c r="R9">
        <v>0</v>
      </c>
      <c r="S9">
        <v>0</v>
      </c>
    </row>
    <row r="10" spans="1:27" x14ac:dyDescent="0.25">
      <c r="A10" t="s">
        <v>27</v>
      </c>
      <c r="B10">
        <v>21620.799999999999</v>
      </c>
      <c r="C10">
        <v>82312.7</v>
      </c>
      <c r="D10">
        <v>138143</v>
      </c>
      <c r="E10">
        <v>3</v>
      </c>
      <c r="F10">
        <v>30</v>
      </c>
      <c r="G10">
        <v>50</v>
      </c>
      <c r="H10">
        <v>4</v>
      </c>
      <c r="I10">
        <v>32</v>
      </c>
      <c r="J10">
        <v>46</v>
      </c>
      <c r="K10">
        <v>2</v>
      </c>
      <c r="L10">
        <v>3304.2140190489699</v>
      </c>
      <c r="M10">
        <v>81.862023999999906</v>
      </c>
      <c r="N10">
        <v>2925.6076267673602</v>
      </c>
      <c r="O10">
        <v>72.280904999999905</v>
      </c>
      <c r="P10">
        <v>10</v>
      </c>
      <c r="Q10">
        <v>0</v>
      </c>
      <c r="R10">
        <v>0</v>
      </c>
      <c r="S10">
        <v>-3.4527366199613302E-2</v>
      </c>
    </row>
    <row r="11" spans="1:27" x14ac:dyDescent="0.25">
      <c r="A11" t="s">
        <v>28</v>
      </c>
      <c r="B11">
        <v>27562.5</v>
      </c>
      <c r="C11">
        <v>49651.7</v>
      </c>
      <c r="D11">
        <v>138143</v>
      </c>
      <c r="E11">
        <v>3</v>
      </c>
      <c r="F11">
        <v>30</v>
      </c>
      <c r="G11">
        <v>67</v>
      </c>
      <c r="H11">
        <v>3</v>
      </c>
      <c r="I11">
        <v>66</v>
      </c>
      <c r="J11">
        <v>82</v>
      </c>
      <c r="K11">
        <v>1</v>
      </c>
      <c r="L11">
        <v>9476.0714940673006</v>
      </c>
      <c r="M11">
        <v>296.62375499999899</v>
      </c>
      <c r="N11">
        <v>9195.4614918867192</v>
      </c>
      <c r="O11">
        <v>273.88621000000001</v>
      </c>
      <c r="P11">
        <v>4</v>
      </c>
      <c r="Q11">
        <v>0</v>
      </c>
      <c r="R11">
        <v>0</v>
      </c>
      <c r="S11">
        <v>-3.51353888158705E-2</v>
      </c>
    </row>
    <row r="12" spans="1:27" x14ac:dyDescent="0.25">
      <c r="A12" t="s">
        <v>29</v>
      </c>
      <c r="B12">
        <v>23096.5</v>
      </c>
      <c r="C12">
        <v>85549.8</v>
      </c>
      <c r="D12">
        <v>138143</v>
      </c>
      <c r="E12">
        <v>3</v>
      </c>
      <c r="F12">
        <v>30</v>
      </c>
      <c r="G12">
        <v>49</v>
      </c>
      <c r="H12">
        <v>4</v>
      </c>
      <c r="I12">
        <v>44</v>
      </c>
      <c r="J12">
        <v>44</v>
      </c>
      <c r="K12">
        <v>2</v>
      </c>
      <c r="L12">
        <v>7568.9810285415797</v>
      </c>
      <c r="M12">
        <v>229.831671</v>
      </c>
      <c r="N12">
        <v>6790.3338253949596</v>
      </c>
      <c r="O12">
        <v>229.831671</v>
      </c>
      <c r="P12">
        <v>2</v>
      </c>
      <c r="Q12">
        <v>0</v>
      </c>
      <c r="R12">
        <v>0</v>
      </c>
      <c r="S12">
        <v>-2.78513239782987E-2</v>
      </c>
    </row>
    <row r="13" spans="1:27" x14ac:dyDescent="0.25">
      <c r="A13" t="s">
        <v>30</v>
      </c>
      <c r="B13">
        <v>24668</v>
      </c>
      <c r="C13">
        <v>1</v>
      </c>
      <c r="D13">
        <v>138143</v>
      </c>
      <c r="E13">
        <v>3</v>
      </c>
      <c r="F13">
        <v>30</v>
      </c>
      <c r="G13">
        <v>53</v>
      </c>
      <c r="H13">
        <v>3</v>
      </c>
      <c r="I13">
        <v>52</v>
      </c>
      <c r="J13">
        <v>52</v>
      </c>
      <c r="K13">
        <v>1</v>
      </c>
      <c r="L13">
        <v>2899.4294388462299</v>
      </c>
      <c r="M13">
        <v>52.386248000000002</v>
      </c>
      <c r="N13">
        <v>2899.4294388462299</v>
      </c>
      <c r="O13">
        <v>52.386248000000002</v>
      </c>
      <c r="P13">
        <v>13</v>
      </c>
      <c r="Q13">
        <v>0</v>
      </c>
      <c r="R13">
        <v>0</v>
      </c>
      <c r="S13">
        <v>0</v>
      </c>
    </row>
    <row r="14" spans="1:27" x14ac:dyDescent="0.25">
      <c r="A14" t="s">
        <v>31</v>
      </c>
      <c r="B14">
        <v>21205.1</v>
      </c>
      <c r="C14">
        <v>818.1</v>
      </c>
      <c r="D14">
        <v>138143</v>
      </c>
      <c r="E14">
        <v>3</v>
      </c>
      <c r="F14">
        <v>30</v>
      </c>
      <c r="G14">
        <v>48</v>
      </c>
      <c r="H14">
        <v>3</v>
      </c>
      <c r="I14">
        <v>38</v>
      </c>
      <c r="J14">
        <v>70</v>
      </c>
      <c r="K14">
        <v>1</v>
      </c>
      <c r="L14">
        <v>4000.2030537826799</v>
      </c>
      <c r="M14">
        <v>46.754466999999998</v>
      </c>
      <c r="N14">
        <v>2512.3368335505402</v>
      </c>
      <c r="O14">
        <v>36.309705000000001</v>
      </c>
      <c r="P14">
        <v>17673</v>
      </c>
      <c r="Q14">
        <v>0</v>
      </c>
      <c r="R14">
        <v>0</v>
      </c>
      <c r="S14">
        <v>-7.6229999692006195E-2</v>
      </c>
    </row>
    <row r="15" spans="1:27" x14ac:dyDescent="0.25">
      <c r="A15" t="s">
        <v>32</v>
      </c>
      <c r="B15">
        <v>22531.7</v>
      </c>
      <c r="C15">
        <v>21992.3</v>
      </c>
      <c r="D15">
        <v>138143</v>
      </c>
      <c r="E15">
        <v>3</v>
      </c>
      <c r="F15">
        <v>30</v>
      </c>
      <c r="G15">
        <v>51</v>
      </c>
      <c r="H15">
        <v>3</v>
      </c>
      <c r="I15">
        <v>44</v>
      </c>
      <c r="J15">
        <v>54</v>
      </c>
      <c r="K15">
        <v>1</v>
      </c>
      <c r="L15">
        <v>3540.1533481260499</v>
      </c>
      <c r="M15">
        <v>204.63209999999901</v>
      </c>
      <c r="N15">
        <v>3540.1533481260499</v>
      </c>
      <c r="O15">
        <v>192.636809</v>
      </c>
      <c r="P15">
        <v>2</v>
      </c>
      <c r="Q15">
        <v>0</v>
      </c>
      <c r="R15">
        <v>0</v>
      </c>
      <c r="S15">
        <v>-2.0676185067606601E-2</v>
      </c>
    </row>
    <row r="16" spans="1:27" x14ac:dyDescent="0.25">
      <c r="A16" t="s">
        <v>33</v>
      </c>
      <c r="B16">
        <v>21305.200000000001</v>
      </c>
      <c r="C16">
        <v>99465.3</v>
      </c>
      <c r="D16">
        <v>138143</v>
      </c>
      <c r="E16">
        <v>3</v>
      </c>
      <c r="F16">
        <v>30</v>
      </c>
      <c r="G16">
        <v>50</v>
      </c>
      <c r="H16">
        <v>5</v>
      </c>
      <c r="I16">
        <v>32</v>
      </c>
      <c r="J16">
        <v>60</v>
      </c>
      <c r="K16">
        <v>2</v>
      </c>
      <c r="L16">
        <v>5961.0552690866398</v>
      </c>
      <c r="M16">
        <v>107.77089599999999</v>
      </c>
      <c r="N16">
        <v>5961.0552690866398</v>
      </c>
      <c r="O16">
        <v>93.208870000000005</v>
      </c>
      <c r="P16">
        <v>2</v>
      </c>
      <c r="Q16">
        <v>0</v>
      </c>
      <c r="R16">
        <v>0</v>
      </c>
      <c r="S16">
        <v>-2.8009850186154098E-2</v>
      </c>
    </row>
    <row r="17" spans="1:19" x14ac:dyDescent="0.25">
      <c r="A17" t="s">
        <v>34</v>
      </c>
      <c r="B17">
        <v>23648.1</v>
      </c>
      <c r="C17">
        <v>89606.9</v>
      </c>
      <c r="D17">
        <v>138143</v>
      </c>
      <c r="E17">
        <v>3</v>
      </c>
      <c r="F17">
        <v>30</v>
      </c>
      <c r="G17">
        <v>56</v>
      </c>
      <c r="H17">
        <v>3</v>
      </c>
      <c r="I17">
        <v>60</v>
      </c>
      <c r="J17">
        <v>68</v>
      </c>
      <c r="K17">
        <v>9</v>
      </c>
      <c r="L17">
        <v>11735.589251031701</v>
      </c>
      <c r="M17">
        <v>376.46315900000002</v>
      </c>
      <c r="N17">
        <v>13610.3486085594</v>
      </c>
      <c r="O17">
        <v>366.64275300000003</v>
      </c>
      <c r="P17">
        <v>1</v>
      </c>
      <c r="Q17">
        <v>0</v>
      </c>
      <c r="R17">
        <v>0</v>
      </c>
      <c r="S17">
        <v>5.1277675378022199E-2</v>
      </c>
    </row>
    <row r="18" spans="1:19" x14ac:dyDescent="0.25">
      <c r="A18" t="s">
        <v>35</v>
      </c>
      <c r="B18">
        <v>24392.7</v>
      </c>
      <c r="C18">
        <v>110896.9</v>
      </c>
      <c r="D18">
        <v>138143</v>
      </c>
      <c r="E18">
        <v>3</v>
      </c>
      <c r="F18">
        <v>30</v>
      </c>
      <c r="G18">
        <v>56</v>
      </c>
      <c r="H18">
        <v>2</v>
      </c>
      <c r="I18">
        <v>48</v>
      </c>
      <c r="J18">
        <v>48</v>
      </c>
      <c r="K18">
        <v>5</v>
      </c>
      <c r="L18">
        <v>15733.0514788978</v>
      </c>
      <c r="M18">
        <v>313.62805400000002</v>
      </c>
      <c r="N18">
        <v>15733.0514788978</v>
      </c>
      <c r="O18">
        <v>313.62805400000002</v>
      </c>
      <c r="P18">
        <v>3</v>
      </c>
      <c r="Q18">
        <v>0</v>
      </c>
      <c r="R18">
        <v>0</v>
      </c>
      <c r="S18">
        <v>0</v>
      </c>
    </row>
    <row r="19" spans="1:19" x14ac:dyDescent="0.25">
      <c r="A19" t="s">
        <v>36</v>
      </c>
      <c r="B19">
        <v>20403</v>
      </c>
      <c r="C19">
        <v>71560.899999999994</v>
      </c>
      <c r="D19">
        <v>138143</v>
      </c>
      <c r="E19">
        <v>3</v>
      </c>
      <c r="F19">
        <v>30</v>
      </c>
      <c r="G19">
        <v>40</v>
      </c>
      <c r="H19">
        <v>3</v>
      </c>
      <c r="I19">
        <v>24</v>
      </c>
      <c r="J19">
        <v>54</v>
      </c>
      <c r="K19">
        <v>1</v>
      </c>
      <c r="L19">
        <v>3965.4618676538098</v>
      </c>
      <c r="M19">
        <v>97.277483000000004</v>
      </c>
      <c r="N19">
        <v>3163.4424176192501</v>
      </c>
      <c r="O19">
        <v>87.858216999999996</v>
      </c>
      <c r="P19">
        <v>1</v>
      </c>
      <c r="Q19">
        <v>0</v>
      </c>
      <c r="R19">
        <v>0</v>
      </c>
      <c r="S19">
        <v>-5.1097502326995198E-2</v>
      </c>
    </row>
    <row r="20" spans="1:19" x14ac:dyDescent="0.25">
      <c r="A20" t="s">
        <v>37</v>
      </c>
      <c r="B20">
        <v>25587.1</v>
      </c>
      <c r="C20">
        <v>43672.2</v>
      </c>
      <c r="D20">
        <v>138143</v>
      </c>
      <c r="E20">
        <v>3</v>
      </c>
      <c r="F20">
        <v>30</v>
      </c>
      <c r="G20">
        <v>54</v>
      </c>
      <c r="H20">
        <v>3</v>
      </c>
      <c r="I20">
        <v>46</v>
      </c>
      <c r="J20">
        <v>42</v>
      </c>
      <c r="K20">
        <v>2</v>
      </c>
      <c r="L20">
        <v>2225.8596333748801</v>
      </c>
      <c r="M20">
        <v>356.90473100000003</v>
      </c>
      <c r="N20">
        <v>2108.30998680837</v>
      </c>
      <c r="O20">
        <v>346.664692</v>
      </c>
      <c r="P20">
        <v>1</v>
      </c>
      <c r="Q20">
        <v>0</v>
      </c>
      <c r="R20">
        <v>0</v>
      </c>
      <c r="S20">
        <v>-2.3669955859871399E-2</v>
      </c>
    </row>
    <row r="21" spans="1:19" x14ac:dyDescent="0.25">
      <c r="A21" t="s">
        <v>38</v>
      </c>
      <c r="B21">
        <v>22473.200000000001</v>
      </c>
      <c r="C21">
        <v>4243.6000000000004</v>
      </c>
      <c r="D21">
        <v>138143</v>
      </c>
      <c r="E21">
        <v>3</v>
      </c>
      <c r="F21">
        <v>30</v>
      </c>
      <c r="G21">
        <v>54</v>
      </c>
      <c r="H21">
        <v>3</v>
      </c>
      <c r="I21">
        <v>62</v>
      </c>
      <c r="J21">
        <v>72</v>
      </c>
      <c r="K21">
        <v>1</v>
      </c>
      <c r="L21">
        <v>3613.4357680581902</v>
      </c>
      <c r="M21">
        <v>14.140319</v>
      </c>
      <c r="N21">
        <v>2763.53569587116</v>
      </c>
      <c r="O21">
        <v>0.80694900000000003</v>
      </c>
      <c r="P21">
        <v>1764</v>
      </c>
      <c r="Q21">
        <v>0</v>
      </c>
      <c r="R21">
        <v>0</v>
      </c>
      <c r="S21">
        <v>-5.1008416385314802E-2</v>
      </c>
    </row>
    <row r="22" spans="1:19" x14ac:dyDescent="0.25">
      <c r="A22" t="s">
        <v>39</v>
      </c>
      <c r="B22">
        <v>22445.9</v>
      </c>
      <c r="C22">
        <v>1</v>
      </c>
      <c r="D22">
        <v>138143</v>
      </c>
      <c r="E22">
        <v>3</v>
      </c>
      <c r="F22">
        <v>30</v>
      </c>
      <c r="G22">
        <v>54</v>
      </c>
      <c r="H22">
        <v>3</v>
      </c>
      <c r="I22">
        <v>44</v>
      </c>
      <c r="J22">
        <v>44</v>
      </c>
      <c r="K22">
        <v>1</v>
      </c>
      <c r="L22">
        <v>8091.1262946454499</v>
      </c>
      <c r="M22">
        <v>391.44051200000001</v>
      </c>
      <c r="N22">
        <v>8091.1262946454499</v>
      </c>
      <c r="O22">
        <v>391.44051200000001</v>
      </c>
      <c r="P22">
        <v>6</v>
      </c>
      <c r="Q22">
        <v>0</v>
      </c>
      <c r="R22">
        <v>0</v>
      </c>
      <c r="S22">
        <v>0</v>
      </c>
    </row>
    <row r="23" spans="1:19" x14ac:dyDescent="0.25">
      <c r="A23" t="s">
        <v>40</v>
      </c>
      <c r="B23">
        <v>24809.5</v>
      </c>
      <c r="C23">
        <v>1</v>
      </c>
      <c r="D23">
        <v>138143</v>
      </c>
      <c r="E23">
        <v>3</v>
      </c>
      <c r="F23">
        <v>30</v>
      </c>
      <c r="G23">
        <v>50</v>
      </c>
      <c r="H23">
        <v>4</v>
      </c>
      <c r="I23">
        <v>40</v>
      </c>
      <c r="J23">
        <v>40</v>
      </c>
      <c r="K23">
        <v>1</v>
      </c>
      <c r="L23">
        <v>0</v>
      </c>
      <c r="M23">
        <v>276.68983600000001</v>
      </c>
      <c r="N23">
        <v>0</v>
      </c>
      <c r="O23">
        <v>276.68983600000001</v>
      </c>
      <c r="P23">
        <v>3</v>
      </c>
      <c r="Q23">
        <v>0</v>
      </c>
      <c r="R23">
        <v>0</v>
      </c>
      <c r="S23">
        <v>0</v>
      </c>
    </row>
    <row r="24" spans="1:19" x14ac:dyDescent="0.25">
      <c r="A24" t="s">
        <v>41</v>
      </c>
      <c r="B24">
        <v>19486.3</v>
      </c>
      <c r="C24">
        <v>116919</v>
      </c>
      <c r="D24">
        <v>138143</v>
      </c>
      <c r="E24">
        <v>3</v>
      </c>
      <c r="F24">
        <v>30</v>
      </c>
      <c r="G24">
        <v>47</v>
      </c>
      <c r="H24">
        <v>3</v>
      </c>
      <c r="I24">
        <v>34</v>
      </c>
      <c r="J24">
        <v>34</v>
      </c>
      <c r="K24">
        <v>9</v>
      </c>
      <c r="L24">
        <v>14476.354447538301</v>
      </c>
      <c r="M24">
        <v>258.976991</v>
      </c>
      <c r="N24">
        <v>14476.354447538301</v>
      </c>
      <c r="O24">
        <v>258.976991</v>
      </c>
      <c r="P24">
        <v>4</v>
      </c>
      <c r="Q24">
        <v>0</v>
      </c>
      <c r="R24">
        <v>0</v>
      </c>
      <c r="S24">
        <v>0</v>
      </c>
    </row>
    <row r="25" spans="1:19" x14ac:dyDescent="0.25">
      <c r="A25" t="s">
        <v>42</v>
      </c>
      <c r="B25">
        <v>24344</v>
      </c>
      <c r="C25">
        <v>83770.600000000006</v>
      </c>
      <c r="D25">
        <v>138143</v>
      </c>
      <c r="E25">
        <v>3</v>
      </c>
      <c r="F25">
        <v>30</v>
      </c>
      <c r="G25">
        <v>55</v>
      </c>
      <c r="H25">
        <v>4</v>
      </c>
      <c r="I25">
        <v>48</v>
      </c>
      <c r="J25">
        <v>60</v>
      </c>
      <c r="K25">
        <v>5</v>
      </c>
      <c r="L25">
        <v>14404.13279148</v>
      </c>
      <c r="M25">
        <v>240.36434299999999</v>
      </c>
      <c r="N25">
        <v>14862.1280318688</v>
      </c>
      <c r="O25">
        <v>217.30059800000001</v>
      </c>
      <c r="P25">
        <v>1</v>
      </c>
      <c r="Q25">
        <v>0</v>
      </c>
      <c r="R25">
        <v>0</v>
      </c>
      <c r="S25">
        <v>-1.8004628417605899E-2</v>
      </c>
    </row>
    <row r="26" spans="1:19" x14ac:dyDescent="0.25">
      <c r="A26" t="s">
        <v>43</v>
      </c>
      <c r="B26">
        <v>19630.099999999999</v>
      </c>
      <c r="C26">
        <v>66050.8</v>
      </c>
      <c r="D26">
        <v>138143</v>
      </c>
      <c r="E26">
        <v>3</v>
      </c>
      <c r="F26">
        <v>30</v>
      </c>
      <c r="G26">
        <v>44</v>
      </c>
      <c r="H26">
        <v>3</v>
      </c>
      <c r="I26">
        <v>28</v>
      </c>
      <c r="J26">
        <v>28</v>
      </c>
      <c r="K26">
        <v>4</v>
      </c>
      <c r="L26">
        <v>3924.72919886921</v>
      </c>
      <c r="M26">
        <v>192.402455</v>
      </c>
      <c r="N26">
        <v>3924.72919886921</v>
      </c>
      <c r="O26">
        <v>192.402455</v>
      </c>
      <c r="P26">
        <v>1</v>
      </c>
      <c r="Q26">
        <v>0</v>
      </c>
      <c r="R26">
        <v>0</v>
      </c>
      <c r="S26">
        <v>0</v>
      </c>
    </row>
    <row r="27" spans="1:19" x14ac:dyDescent="0.25">
      <c r="A27" t="s">
        <v>44</v>
      </c>
      <c r="B27">
        <v>20091.2</v>
      </c>
      <c r="C27">
        <v>107863.9</v>
      </c>
      <c r="D27">
        <v>138143</v>
      </c>
      <c r="E27">
        <v>3</v>
      </c>
      <c r="F27">
        <v>30</v>
      </c>
      <c r="G27">
        <v>44</v>
      </c>
      <c r="H27">
        <v>3</v>
      </c>
      <c r="I27">
        <v>34</v>
      </c>
      <c r="J27">
        <v>32</v>
      </c>
      <c r="K27">
        <v>2</v>
      </c>
      <c r="L27">
        <v>7882.2361181777796</v>
      </c>
      <c r="M27">
        <v>205.29021399999999</v>
      </c>
      <c r="N27">
        <v>7747.7116309756702</v>
      </c>
      <c r="O27">
        <v>193.91724499999901</v>
      </c>
      <c r="P27">
        <v>1</v>
      </c>
      <c r="Q27">
        <v>0</v>
      </c>
      <c r="R27">
        <v>0</v>
      </c>
      <c r="S27">
        <v>-2.4827766437763198E-2</v>
      </c>
    </row>
    <row r="28" spans="1:19" x14ac:dyDescent="0.25">
      <c r="A28" t="s">
        <v>45</v>
      </c>
      <c r="B28">
        <v>25759</v>
      </c>
      <c r="C28">
        <v>82737</v>
      </c>
      <c r="D28">
        <v>138143</v>
      </c>
      <c r="E28">
        <v>3</v>
      </c>
      <c r="F28">
        <v>30</v>
      </c>
      <c r="G28">
        <v>57</v>
      </c>
      <c r="H28">
        <v>4</v>
      </c>
      <c r="I28">
        <v>52</v>
      </c>
      <c r="J28">
        <v>52</v>
      </c>
      <c r="K28">
        <v>2</v>
      </c>
      <c r="L28">
        <v>13575.052133229799</v>
      </c>
      <c r="M28">
        <v>364.781834</v>
      </c>
      <c r="N28">
        <v>13575.052133229799</v>
      </c>
      <c r="O28">
        <v>364.781834</v>
      </c>
      <c r="P28">
        <v>1</v>
      </c>
      <c r="Q28">
        <v>0</v>
      </c>
      <c r="R28">
        <v>0</v>
      </c>
      <c r="S28">
        <v>0</v>
      </c>
    </row>
    <row r="29" spans="1:19" x14ac:dyDescent="0.25">
      <c r="A29" t="s">
        <v>46</v>
      </c>
      <c r="B29">
        <v>25289.3</v>
      </c>
      <c r="C29">
        <v>65326.2</v>
      </c>
      <c r="D29">
        <v>138143</v>
      </c>
      <c r="E29">
        <v>3</v>
      </c>
      <c r="F29">
        <v>30</v>
      </c>
      <c r="G29">
        <v>47</v>
      </c>
      <c r="H29">
        <v>4</v>
      </c>
      <c r="I29">
        <v>34</v>
      </c>
      <c r="J29">
        <v>34</v>
      </c>
      <c r="K29">
        <v>2</v>
      </c>
      <c r="L29">
        <v>8297.1211551145698</v>
      </c>
      <c r="M29">
        <v>244.16914800000001</v>
      </c>
      <c r="N29">
        <v>8297.1211551145698</v>
      </c>
      <c r="O29">
        <v>244.16914800000001</v>
      </c>
      <c r="P29">
        <v>1</v>
      </c>
      <c r="Q29">
        <v>0</v>
      </c>
      <c r="R29">
        <v>0</v>
      </c>
      <c r="S29">
        <v>0</v>
      </c>
    </row>
    <row r="30" spans="1:19" x14ac:dyDescent="0.25">
      <c r="A30" t="s">
        <v>47</v>
      </c>
      <c r="B30">
        <v>21996.5</v>
      </c>
      <c r="C30">
        <v>111556.7</v>
      </c>
      <c r="D30">
        <v>138143</v>
      </c>
      <c r="E30">
        <v>3</v>
      </c>
      <c r="F30">
        <v>30</v>
      </c>
      <c r="G30">
        <v>51</v>
      </c>
      <c r="H30">
        <v>4</v>
      </c>
      <c r="I30">
        <v>44</v>
      </c>
      <c r="J30">
        <v>44</v>
      </c>
      <c r="K30">
        <v>6</v>
      </c>
      <c r="L30">
        <v>4377.0092794873199</v>
      </c>
      <c r="M30">
        <v>292.05269399999997</v>
      </c>
      <c r="N30">
        <v>3685.5654123243899</v>
      </c>
      <c r="O30">
        <v>292.05269399999997</v>
      </c>
      <c r="P30">
        <v>1</v>
      </c>
      <c r="Q30">
        <v>0</v>
      </c>
      <c r="R30">
        <v>0</v>
      </c>
      <c r="S30">
        <v>-2.4759707082822199E-2</v>
      </c>
    </row>
    <row r="31" spans="1:19" x14ac:dyDescent="0.25">
      <c r="A31" t="s">
        <v>48</v>
      </c>
      <c r="B31">
        <v>38149</v>
      </c>
      <c r="C31">
        <v>1503.4</v>
      </c>
      <c r="D31">
        <v>138143</v>
      </c>
      <c r="E31">
        <v>3</v>
      </c>
      <c r="F31">
        <v>30</v>
      </c>
      <c r="G31">
        <v>74</v>
      </c>
      <c r="H31">
        <v>4</v>
      </c>
      <c r="I31">
        <v>88</v>
      </c>
      <c r="J31">
        <v>114</v>
      </c>
      <c r="K31">
        <v>2</v>
      </c>
      <c r="L31">
        <v>7831.1498694308402</v>
      </c>
      <c r="M31">
        <v>282.85732899999999</v>
      </c>
      <c r="N31">
        <v>7628.9204226564698</v>
      </c>
      <c r="O31">
        <v>258.83718800000003</v>
      </c>
      <c r="P31">
        <v>5403</v>
      </c>
      <c r="Q31">
        <v>0</v>
      </c>
      <c r="R31">
        <v>0</v>
      </c>
      <c r="S31">
        <v>-3.2311636616844698E-2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P3_30_summary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Cardoso</cp:lastModifiedBy>
  <dcterms:created xsi:type="dcterms:W3CDTF">2026-09-14T13:54:42Z</dcterms:created>
  <dcterms:modified xsi:type="dcterms:W3CDTF">2026-09-14T13:54:42Z</dcterms:modified>
</cp:coreProperties>
</file>