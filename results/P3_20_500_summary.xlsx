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as Normais\cardosop\BPMN_Risk_Artigo\results\"/>
    </mc:Choice>
  </mc:AlternateContent>
  <xr:revisionPtr revIDLastSave="0" documentId="8_{FA3D2625-F8E4-421C-BD6E-F92D68334B59}" xr6:coauthVersionLast="47" xr6:coauthVersionMax="47" xr10:uidLastSave="{00000000-0000-0000-0000-000000000000}"/>
  <bookViews>
    <workbookView xWindow="-120" yWindow="-120" windowWidth="29040" windowHeight="15840" xr2:uid="{0A4C723A-0D27-4731-8739-A508C87F07CB}"/>
  </bookViews>
  <sheets>
    <sheet name="P3_20_500_summary" sheetId="1" r:id="rId1"/>
  </sheets>
  <calcPr calcId="0"/>
</workbook>
</file>

<file path=xl/calcChain.xml><?xml version="1.0" encoding="utf-8"?>
<calcChain xmlns="http://schemas.openxmlformats.org/spreadsheetml/2006/main">
  <c r="Z2" i="1" l="1"/>
  <c r="Y2" i="1"/>
  <c r="X2" i="1"/>
  <c r="W2" i="1"/>
  <c r="V2" i="1"/>
</calcChain>
</file>

<file path=xl/sharedStrings.xml><?xml version="1.0" encoding="utf-8"?>
<sst xmlns="http://schemas.openxmlformats.org/spreadsheetml/2006/main" count="90" uniqueCount="55">
  <si>
    <t>Name</t>
  </si>
  <si>
    <t>ExecutTime</t>
  </si>
  <si>
    <t>StabIt</t>
  </si>
  <si>
    <t>TotalIt</t>
  </si>
  <si>
    <t>#Participants</t>
  </si>
  <si>
    <t>#MutNodes</t>
  </si>
  <si>
    <t>#Nodes</t>
  </si>
  <si>
    <t>#Splits</t>
  </si>
  <si>
    <t>Init#Comms</t>
  </si>
  <si>
    <t>Optimal#Comms</t>
  </si>
  <si>
    <t>#OptimalSols</t>
  </si>
  <si>
    <t>InitRisk</t>
  </si>
  <si>
    <t>InitCost</t>
  </si>
  <si>
    <t>OptimalRisk</t>
  </si>
  <si>
    <t>OptimalCost</t>
  </si>
  <si>
    <t>#Configs</t>
  </si>
  <si>
    <t>RiskDist</t>
  </si>
  <si>
    <t>CostDist</t>
  </si>
  <si>
    <t>MonetaryTradeoff</t>
  </si>
  <si>
    <t>P3_20_1</t>
  </si>
  <si>
    <t>P3_20_10</t>
  </si>
  <si>
    <t>P3_20_11</t>
  </si>
  <si>
    <t>P3_20_12</t>
  </si>
  <si>
    <t>P3_20_13</t>
  </si>
  <si>
    <t>P3_20_14</t>
  </si>
  <si>
    <t>P3_20_15</t>
  </si>
  <si>
    <t>P3_20_16</t>
  </si>
  <si>
    <t>P3_20_17</t>
  </si>
  <si>
    <t>P3_20_18</t>
  </si>
  <si>
    <t>P3_20_19</t>
  </si>
  <si>
    <t>P3_20_2</t>
  </si>
  <si>
    <t>P3_20_20</t>
  </si>
  <si>
    <t>P3_20_21</t>
  </si>
  <si>
    <t>P3_20_22</t>
  </si>
  <si>
    <t>P3_20_23</t>
  </si>
  <si>
    <t>P3_20_24</t>
  </si>
  <si>
    <t>P3_20_25</t>
  </si>
  <si>
    <t>P3_20_26</t>
  </si>
  <si>
    <t>P3_20_27</t>
  </si>
  <si>
    <t>P3_20_28</t>
  </si>
  <si>
    <t>P3_20_29</t>
  </si>
  <si>
    <t>P3_20_3</t>
  </si>
  <si>
    <t>P3_20_30</t>
  </si>
  <si>
    <t>P3_20_4</t>
  </si>
  <si>
    <t>P3_20_5</t>
  </si>
  <si>
    <t>P3_20_6</t>
  </si>
  <si>
    <t>P3_20_7</t>
  </si>
  <si>
    <t>P3_20_8</t>
  </si>
  <si>
    <t>P3_20_9</t>
  </si>
  <si>
    <t>Tempo médio</t>
  </si>
  <si>
    <t>Desvio padrão</t>
  </si>
  <si>
    <t>Média estabilizar</t>
  </si>
  <si>
    <t>2 sols</t>
  </si>
  <si>
    <t>3+sols</t>
  </si>
  <si>
    <t>Sol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</si>
</sst>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F45C-620E-4264-BE2E-0E6F35270EC1}">
  <dimension ref="A1:AA66"/>
  <sheetViews>
    <sheetView tabSelected="1" workbookViewId="0">
      <selection activeCell="Z3" sqref="Z3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</row>
    <row r="2" spans="1:27" x14ac:dyDescent="0.25">
      <c r="A2" t="s">
        <v>19</v>
      </c>
      <c r="B2">
        <v>13043.3</v>
      </c>
      <c r="C2">
        <v>80464.399999999994</v>
      </c>
      <c r="D2">
        <v>138143</v>
      </c>
      <c r="E2">
        <v>3</v>
      </c>
      <c r="F2">
        <v>20</v>
      </c>
      <c r="G2">
        <v>26</v>
      </c>
      <c r="H2">
        <v>2</v>
      </c>
      <c r="I2">
        <v>16</v>
      </c>
      <c r="J2">
        <v>22</v>
      </c>
      <c r="K2">
        <v>2</v>
      </c>
      <c r="L2">
        <v>3362.5590967416301</v>
      </c>
      <c r="M2">
        <v>63.846218999999998</v>
      </c>
      <c r="N2">
        <v>2226.46338073488</v>
      </c>
      <c r="O2">
        <v>41.072147000000001</v>
      </c>
      <c r="P2">
        <v>2</v>
      </c>
      <c r="Q2">
        <v>0</v>
      </c>
      <c r="R2">
        <v>0</v>
      </c>
      <c r="S2">
        <v>-0.10693889786050401</v>
      </c>
      <c r="V2">
        <f>SUM(B2,B4,B5,B6,B7,B8,B12,B16,B20,B22,B24,B25,B27,B29,B31,B35,B38,B39,B40,B42,B46,B48,B49,B54,B57,B59,B61,B62,B64,B66)/30</f>
        <v>16072.383333333331</v>
      </c>
      <c r="W2">
        <f>_xlfn.STDEV.P(B2,B4,B5,B6,B7,B8,B12,B16,B20,B22,B24,B25,B27,B29,B31,B35,B38,B39,B40,B42,B46,B48,B49,B54,B57,B59,B61,B62,B64,B66)</f>
        <v>3469.7440804842777</v>
      </c>
      <c r="X2">
        <f>SUM(C2,C4,C5,C6,C7,C8,C12,C16,C20,C22,C24,C25,C27,C29,C31,C35,C38,C39,C40,C42,C46,C48,C49,C54,C57,C59,C61,C62,C64,C66)/30</f>
        <v>55247.450000000004</v>
      </c>
      <c r="Y2">
        <f>12/30</f>
        <v>0.4</v>
      </c>
      <c r="Z2">
        <f>8/30</f>
        <v>0.26666666666666666</v>
      </c>
      <c r="AA2">
        <v>5</v>
      </c>
    </row>
    <row r="3" spans="1:27" x14ac:dyDescent="0.25">
      <c r="A3" t="s">
        <v>19</v>
      </c>
      <c r="B3">
        <v>13043.3</v>
      </c>
      <c r="C3">
        <v>80464.399999999994</v>
      </c>
      <c r="D3">
        <v>138143</v>
      </c>
      <c r="E3">
        <v>3</v>
      </c>
      <c r="F3">
        <v>20</v>
      </c>
      <c r="G3">
        <v>26</v>
      </c>
      <c r="H3">
        <v>2</v>
      </c>
      <c r="I3">
        <v>16</v>
      </c>
      <c r="J3">
        <v>24</v>
      </c>
      <c r="K3">
        <v>2</v>
      </c>
      <c r="L3">
        <v>3362.5590967416301</v>
      </c>
      <c r="M3">
        <v>63.846218999999998</v>
      </c>
      <c r="N3">
        <v>2135.3986660034002</v>
      </c>
      <c r="O3">
        <v>67.538028999999995</v>
      </c>
      <c r="P3">
        <v>1</v>
      </c>
      <c r="Q3">
        <v>3.3623066336363602E-3</v>
      </c>
      <c r="R3">
        <v>7.5527328919299697E-2</v>
      </c>
      <c r="S3">
        <v>-0.11030120449414001</v>
      </c>
    </row>
    <row r="4" spans="1:27" x14ac:dyDescent="0.25">
      <c r="A4" t="s">
        <v>20</v>
      </c>
      <c r="B4">
        <v>16803.8</v>
      </c>
      <c r="C4">
        <v>64213.4</v>
      </c>
      <c r="D4">
        <v>138143</v>
      </c>
      <c r="E4">
        <v>3</v>
      </c>
      <c r="F4">
        <v>20</v>
      </c>
      <c r="G4">
        <v>33</v>
      </c>
      <c r="H4">
        <v>1</v>
      </c>
      <c r="I4">
        <v>32</v>
      </c>
      <c r="J4">
        <v>42</v>
      </c>
      <c r="K4">
        <v>1</v>
      </c>
      <c r="L4">
        <v>7336.7135530156402</v>
      </c>
      <c r="M4">
        <v>187.559076</v>
      </c>
      <c r="N4">
        <v>5785.86381530364</v>
      </c>
      <c r="O4">
        <v>171.63652200000001</v>
      </c>
      <c r="P4">
        <v>2</v>
      </c>
      <c r="Q4">
        <v>0</v>
      </c>
      <c r="R4">
        <v>0</v>
      </c>
      <c r="S4">
        <v>-9.2072669418243797E-2</v>
      </c>
    </row>
    <row r="5" spans="1:27" x14ac:dyDescent="0.25">
      <c r="A5" t="s">
        <v>21</v>
      </c>
      <c r="B5">
        <v>16238.6</v>
      </c>
      <c r="C5">
        <v>97321.5</v>
      </c>
      <c r="D5">
        <v>138143</v>
      </c>
      <c r="E5">
        <v>3</v>
      </c>
      <c r="F5">
        <v>20</v>
      </c>
      <c r="G5">
        <v>31</v>
      </c>
      <c r="H5">
        <v>2</v>
      </c>
      <c r="I5">
        <v>16</v>
      </c>
      <c r="J5">
        <v>24</v>
      </c>
      <c r="K5">
        <v>1</v>
      </c>
      <c r="L5">
        <v>4022.7307468245599</v>
      </c>
      <c r="M5">
        <v>32.188504000000002</v>
      </c>
      <c r="N5">
        <v>3320.0932574032399</v>
      </c>
      <c r="O5">
        <v>15.861141</v>
      </c>
      <c r="P5">
        <v>3</v>
      </c>
      <c r="Q5">
        <v>0</v>
      </c>
      <c r="R5">
        <v>0</v>
      </c>
      <c r="S5">
        <v>-7.1491145077866095E-2</v>
      </c>
    </row>
    <row r="6" spans="1:27" x14ac:dyDescent="0.25">
      <c r="A6" t="s">
        <v>22</v>
      </c>
      <c r="B6">
        <v>14557.4</v>
      </c>
      <c r="C6">
        <v>1</v>
      </c>
      <c r="D6">
        <v>138143</v>
      </c>
      <c r="E6">
        <v>3</v>
      </c>
      <c r="F6">
        <v>20</v>
      </c>
      <c r="G6">
        <v>30</v>
      </c>
      <c r="H6">
        <v>1</v>
      </c>
      <c r="I6">
        <v>22</v>
      </c>
      <c r="J6">
        <v>22</v>
      </c>
      <c r="K6">
        <v>1</v>
      </c>
      <c r="L6">
        <v>3587.1935601564201</v>
      </c>
      <c r="M6">
        <v>153.752228</v>
      </c>
      <c r="N6">
        <v>3587.1935601564201</v>
      </c>
      <c r="O6">
        <v>153.752228</v>
      </c>
      <c r="P6">
        <v>1</v>
      </c>
      <c r="Q6">
        <v>0</v>
      </c>
      <c r="R6">
        <v>0</v>
      </c>
      <c r="S6">
        <v>0</v>
      </c>
    </row>
    <row r="7" spans="1:27" x14ac:dyDescent="0.25">
      <c r="A7" t="s">
        <v>23</v>
      </c>
      <c r="B7">
        <v>18926.599999999999</v>
      </c>
      <c r="C7">
        <v>1</v>
      </c>
      <c r="D7">
        <v>138143</v>
      </c>
      <c r="E7">
        <v>3</v>
      </c>
      <c r="F7">
        <v>20</v>
      </c>
      <c r="G7">
        <v>28</v>
      </c>
      <c r="H7">
        <v>3</v>
      </c>
      <c r="I7">
        <v>24</v>
      </c>
      <c r="J7">
        <v>24</v>
      </c>
      <c r="K7">
        <v>1</v>
      </c>
      <c r="L7">
        <v>0</v>
      </c>
      <c r="M7">
        <v>0</v>
      </c>
      <c r="N7">
        <v>0</v>
      </c>
      <c r="O7">
        <v>0</v>
      </c>
      <c r="P7">
        <v>49531</v>
      </c>
      <c r="Q7">
        <v>0</v>
      </c>
      <c r="R7">
        <v>0</v>
      </c>
      <c r="S7">
        <v>0</v>
      </c>
    </row>
    <row r="8" spans="1:27" x14ac:dyDescent="0.25">
      <c r="A8" t="s">
        <v>24</v>
      </c>
      <c r="B8">
        <v>16178.9</v>
      </c>
      <c r="C8">
        <v>95505.2</v>
      </c>
      <c r="D8">
        <v>138143</v>
      </c>
      <c r="E8">
        <v>3</v>
      </c>
      <c r="F8">
        <v>20</v>
      </c>
      <c r="G8">
        <v>29</v>
      </c>
      <c r="H8">
        <v>1</v>
      </c>
      <c r="I8">
        <v>24</v>
      </c>
      <c r="J8">
        <v>18</v>
      </c>
      <c r="K8">
        <v>4</v>
      </c>
      <c r="L8">
        <v>10425.4965161489</v>
      </c>
      <c r="M8">
        <v>184.73197599999901</v>
      </c>
      <c r="N8">
        <v>10425.4965161489</v>
      </c>
      <c r="O8">
        <v>159.35785899999999</v>
      </c>
      <c r="P8">
        <v>3</v>
      </c>
      <c r="Q8">
        <v>0</v>
      </c>
      <c r="R8">
        <v>0</v>
      </c>
      <c r="S8">
        <v>-6.75545464905348E-2</v>
      </c>
    </row>
    <row r="9" spans="1:27" x14ac:dyDescent="0.25">
      <c r="A9" t="s">
        <v>24</v>
      </c>
      <c r="B9">
        <v>16178.9</v>
      </c>
      <c r="C9">
        <v>95505.2</v>
      </c>
      <c r="D9">
        <v>138143</v>
      </c>
      <c r="E9">
        <v>3</v>
      </c>
      <c r="F9">
        <v>20</v>
      </c>
      <c r="G9">
        <v>29</v>
      </c>
      <c r="H9">
        <v>1</v>
      </c>
      <c r="I9">
        <v>24</v>
      </c>
      <c r="J9">
        <v>22</v>
      </c>
      <c r="K9">
        <v>4</v>
      </c>
      <c r="L9">
        <v>10425.4965161489</v>
      </c>
      <c r="M9">
        <v>184.73197599999901</v>
      </c>
      <c r="N9">
        <v>10316.583288805199</v>
      </c>
      <c r="O9">
        <v>185.13861</v>
      </c>
      <c r="P9">
        <v>2</v>
      </c>
      <c r="Q9">
        <v>4.2434529884107196E-3</v>
      </c>
      <c r="R9">
        <v>6.8637144771989594E-2</v>
      </c>
      <c r="S9">
        <v>-7.1797999478945607E-2</v>
      </c>
    </row>
    <row r="10" spans="1:27" x14ac:dyDescent="0.25">
      <c r="A10" t="s">
        <v>24</v>
      </c>
      <c r="B10">
        <v>16178.9</v>
      </c>
      <c r="C10">
        <v>95505.2</v>
      </c>
      <c r="D10">
        <v>138143</v>
      </c>
      <c r="E10">
        <v>3</v>
      </c>
      <c r="F10">
        <v>20</v>
      </c>
      <c r="G10">
        <v>29</v>
      </c>
      <c r="H10">
        <v>1</v>
      </c>
      <c r="I10">
        <v>24</v>
      </c>
      <c r="J10">
        <v>24</v>
      </c>
      <c r="K10">
        <v>4</v>
      </c>
      <c r="L10">
        <v>10425.4965161489</v>
      </c>
      <c r="M10">
        <v>184.73197599999901</v>
      </c>
      <c r="N10">
        <v>9843.8869491122696</v>
      </c>
      <c r="O10">
        <v>198.77175599999899</v>
      </c>
      <c r="P10">
        <v>1</v>
      </c>
      <c r="Q10">
        <v>1.8417089863209401E-2</v>
      </c>
      <c r="R10">
        <v>3.6296080579641399E-2</v>
      </c>
      <c r="S10">
        <v>-2.1577944570165299E-2</v>
      </c>
    </row>
    <row r="11" spans="1:27" x14ac:dyDescent="0.25">
      <c r="A11" t="s">
        <v>24</v>
      </c>
      <c r="B11">
        <v>16178.9</v>
      </c>
      <c r="C11">
        <v>95505.2</v>
      </c>
      <c r="D11">
        <v>138143</v>
      </c>
      <c r="E11">
        <v>3</v>
      </c>
      <c r="F11">
        <v>20</v>
      </c>
      <c r="G11">
        <v>29</v>
      </c>
      <c r="H11">
        <v>1</v>
      </c>
      <c r="I11">
        <v>24</v>
      </c>
      <c r="J11">
        <v>16</v>
      </c>
      <c r="K11">
        <v>4</v>
      </c>
      <c r="L11">
        <v>10425.4965161489</v>
      </c>
      <c r="M11">
        <v>184.73197599999901</v>
      </c>
      <c r="N11">
        <v>9063.4738526222809</v>
      </c>
      <c r="O11">
        <v>205.831459</v>
      </c>
      <c r="P11">
        <v>2</v>
      </c>
      <c r="Q11">
        <v>3.0406281837971099E-2</v>
      </c>
      <c r="R11">
        <v>1.8795335204092802E-2</v>
      </c>
      <c r="S11">
        <v>-1.5688145828495099E-2</v>
      </c>
    </row>
    <row r="12" spans="1:27" x14ac:dyDescent="0.25">
      <c r="A12" t="s">
        <v>25</v>
      </c>
      <c r="B12">
        <v>12561.4</v>
      </c>
      <c r="C12">
        <v>93176.1</v>
      </c>
      <c r="D12">
        <v>138143</v>
      </c>
      <c r="E12">
        <v>3</v>
      </c>
      <c r="F12">
        <v>20</v>
      </c>
      <c r="G12">
        <v>25</v>
      </c>
      <c r="H12">
        <v>1</v>
      </c>
      <c r="I12">
        <v>12</v>
      </c>
      <c r="J12">
        <v>12</v>
      </c>
      <c r="K12">
        <v>4</v>
      </c>
      <c r="L12">
        <v>3310.5294323400899</v>
      </c>
      <c r="M12">
        <v>86.872310999999996</v>
      </c>
      <c r="N12">
        <v>3310.5294323400899</v>
      </c>
      <c r="O12">
        <v>86.872310999999996</v>
      </c>
      <c r="P12">
        <v>1</v>
      </c>
      <c r="Q12">
        <v>0</v>
      </c>
      <c r="R12">
        <v>0</v>
      </c>
      <c r="S12">
        <v>0</v>
      </c>
    </row>
    <row r="13" spans="1:27" x14ac:dyDescent="0.25">
      <c r="A13" t="s">
        <v>25</v>
      </c>
      <c r="B13">
        <v>12561.4</v>
      </c>
      <c r="C13">
        <v>93176.1</v>
      </c>
      <c r="D13">
        <v>138143</v>
      </c>
      <c r="E13">
        <v>3</v>
      </c>
      <c r="F13">
        <v>20</v>
      </c>
      <c r="G13">
        <v>25</v>
      </c>
      <c r="H13">
        <v>1</v>
      </c>
      <c r="I13">
        <v>12</v>
      </c>
      <c r="J13">
        <v>18</v>
      </c>
      <c r="K13">
        <v>4</v>
      </c>
      <c r="L13">
        <v>3310.5294323400899</v>
      </c>
      <c r="M13">
        <v>86.872310999999996</v>
      </c>
      <c r="N13">
        <v>3257.6909002125499</v>
      </c>
      <c r="O13">
        <v>99.445974000000007</v>
      </c>
      <c r="P13">
        <v>1</v>
      </c>
      <c r="Q13">
        <v>1.91440683923835E-3</v>
      </c>
      <c r="R13">
        <v>3.8286637699707297E-2</v>
      </c>
      <c r="S13">
        <v>-1.91440683923835E-3</v>
      </c>
    </row>
    <row r="14" spans="1:27" x14ac:dyDescent="0.25">
      <c r="A14" t="s">
        <v>25</v>
      </c>
      <c r="B14">
        <v>12561.4</v>
      </c>
      <c r="C14">
        <v>93176.1</v>
      </c>
      <c r="D14">
        <v>138143</v>
      </c>
      <c r="E14">
        <v>3</v>
      </c>
      <c r="F14">
        <v>20</v>
      </c>
      <c r="G14">
        <v>25</v>
      </c>
      <c r="H14">
        <v>1</v>
      </c>
      <c r="I14">
        <v>12</v>
      </c>
      <c r="J14">
        <v>24</v>
      </c>
      <c r="K14">
        <v>4</v>
      </c>
      <c r="L14">
        <v>3310.5294323400899</v>
      </c>
      <c r="M14">
        <v>86.872310999999996</v>
      </c>
      <c r="N14">
        <v>3078.8078039407701</v>
      </c>
      <c r="O14">
        <v>103.788318</v>
      </c>
      <c r="P14">
        <v>1</v>
      </c>
      <c r="Q14">
        <v>6.4811607956911498E-3</v>
      </c>
      <c r="R14">
        <v>1.32223801047871E-2</v>
      </c>
      <c r="S14">
        <v>2.98910700647778E-2</v>
      </c>
    </row>
    <row r="15" spans="1:27" x14ac:dyDescent="0.25">
      <c r="A15" t="s">
        <v>25</v>
      </c>
      <c r="B15">
        <v>12561.4</v>
      </c>
      <c r="C15">
        <v>93176.1</v>
      </c>
      <c r="D15">
        <v>138143</v>
      </c>
      <c r="E15">
        <v>3</v>
      </c>
      <c r="F15">
        <v>20</v>
      </c>
      <c r="G15">
        <v>25</v>
      </c>
      <c r="H15">
        <v>1</v>
      </c>
      <c r="I15">
        <v>12</v>
      </c>
      <c r="J15">
        <v>20</v>
      </c>
      <c r="K15">
        <v>4</v>
      </c>
      <c r="L15">
        <v>3310.5294323400899</v>
      </c>
      <c r="M15">
        <v>86.872310999999996</v>
      </c>
      <c r="N15">
        <v>3022.9400586085699</v>
      </c>
      <c r="O15">
        <v>129.293273</v>
      </c>
      <c r="P15">
        <v>1</v>
      </c>
      <c r="Q15">
        <v>2.0241590644236702E-3</v>
      </c>
      <c r="R15">
        <v>7.7662250979077502E-2</v>
      </c>
      <c r="S15">
        <v>4.1089291105141201E-2</v>
      </c>
    </row>
    <row r="16" spans="1:27" x14ac:dyDescent="0.25">
      <c r="A16" t="s">
        <v>26</v>
      </c>
      <c r="B16">
        <v>13839.5</v>
      </c>
      <c r="C16">
        <v>92148.5</v>
      </c>
      <c r="D16">
        <v>138143</v>
      </c>
      <c r="E16">
        <v>3</v>
      </c>
      <c r="F16">
        <v>20</v>
      </c>
      <c r="G16">
        <v>26</v>
      </c>
      <c r="H16">
        <v>1</v>
      </c>
      <c r="I16">
        <v>12</v>
      </c>
      <c r="J16">
        <v>12</v>
      </c>
      <c r="K16">
        <v>4</v>
      </c>
      <c r="L16">
        <v>7439.3432399870999</v>
      </c>
      <c r="M16">
        <v>85.351033999999999</v>
      </c>
      <c r="N16">
        <v>7439.3432399870999</v>
      </c>
      <c r="O16">
        <v>85.351033999999999</v>
      </c>
      <c r="P16">
        <v>1</v>
      </c>
      <c r="Q16">
        <v>0</v>
      </c>
      <c r="R16">
        <v>0</v>
      </c>
      <c r="S16">
        <v>0</v>
      </c>
    </row>
    <row r="17" spans="1:19" x14ac:dyDescent="0.25">
      <c r="A17" t="s">
        <v>26</v>
      </c>
      <c r="B17">
        <v>13839.5</v>
      </c>
      <c r="C17">
        <v>92148.5</v>
      </c>
      <c r="D17">
        <v>138143</v>
      </c>
      <c r="E17">
        <v>3</v>
      </c>
      <c r="F17">
        <v>20</v>
      </c>
      <c r="G17">
        <v>26</v>
      </c>
      <c r="H17">
        <v>1</v>
      </c>
      <c r="I17">
        <v>12</v>
      </c>
      <c r="J17">
        <v>22</v>
      </c>
      <c r="K17">
        <v>4</v>
      </c>
      <c r="L17">
        <v>7439.3432399870999</v>
      </c>
      <c r="M17">
        <v>85.351033999999999</v>
      </c>
      <c r="N17">
        <v>7287.0128620844798</v>
      </c>
      <c r="O17">
        <v>93.582053999999999</v>
      </c>
      <c r="P17">
        <v>1</v>
      </c>
      <c r="Q17">
        <v>5.633677245579E-3</v>
      </c>
      <c r="R17">
        <v>2.3752975153190099E-2</v>
      </c>
      <c r="S17">
        <v>-5.633677245579E-3</v>
      </c>
    </row>
    <row r="18" spans="1:19" x14ac:dyDescent="0.25">
      <c r="A18" t="s">
        <v>26</v>
      </c>
      <c r="B18">
        <v>13839.5</v>
      </c>
      <c r="C18">
        <v>92148.5</v>
      </c>
      <c r="D18">
        <v>138143</v>
      </c>
      <c r="E18">
        <v>3</v>
      </c>
      <c r="F18">
        <v>20</v>
      </c>
      <c r="G18">
        <v>26</v>
      </c>
      <c r="H18">
        <v>1</v>
      </c>
      <c r="I18">
        <v>12</v>
      </c>
      <c r="J18">
        <v>10</v>
      </c>
      <c r="K18">
        <v>4</v>
      </c>
      <c r="L18">
        <v>7439.3432399870999</v>
      </c>
      <c r="M18">
        <v>85.351033999999999</v>
      </c>
      <c r="N18">
        <v>6612.7586509186804</v>
      </c>
      <c r="O18">
        <v>111.046543999999</v>
      </c>
      <c r="P18">
        <v>1</v>
      </c>
      <c r="Q18">
        <v>2.4936133287930901E-2</v>
      </c>
      <c r="R18">
        <v>5.0398808049687299E-2</v>
      </c>
      <c r="S18">
        <v>-6.8168353803197404E-3</v>
      </c>
    </row>
    <row r="19" spans="1:19" x14ac:dyDescent="0.25">
      <c r="A19" t="s">
        <v>26</v>
      </c>
      <c r="B19">
        <v>13839.5</v>
      </c>
      <c r="C19">
        <v>92148.5</v>
      </c>
      <c r="D19">
        <v>138143</v>
      </c>
      <c r="E19">
        <v>3</v>
      </c>
      <c r="F19">
        <v>20</v>
      </c>
      <c r="G19">
        <v>26</v>
      </c>
      <c r="H19">
        <v>1</v>
      </c>
      <c r="I19">
        <v>12</v>
      </c>
      <c r="J19">
        <v>18</v>
      </c>
      <c r="K19">
        <v>4</v>
      </c>
      <c r="L19">
        <v>7439.3432399870999</v>
      </c>
      <c r="M19">
        <v>85.351033999999999</v>
      </c>
      <c r="N19">
        <v>6453.6992657254596</v>
      </c>
      <c r="O19">
        <v>125.899300999999</v>
      </c>
      <c r="P19">
        <v>1</v>
      </c>
      <c r="Q19">
        <v>5.8825380163612297E-3</v>
      </c>
      <c r="R19">
        <v>4.2861901438384399E-2</v>
      </c>
      <c r="S19">
        <v>3.7699434653006299E-2</v>
      </c>
    </row>
    <row r="20" spans="1:19" x14ac:dyDescent="0.25">
      <c r="A20" t="s">
        <v>27</v>
      </c>
      <c r="B20">
        <v>14204.1</v>
      </c>
      <c r="C20">
        <v>77653.2</v>
      </c>
      <c r="D20">
        <v>138143</v>
      </c>
      <c r="E20">
        <v>3</v>
      </c>
      <c r="F20">
        <v>20</v>
      </c>
      <c r="G20">
        <v>27</v>
      </c>
      <c r="H20">
        <v>2</v>
      </c>
      <c r="I20">
        <v>16</v>
      </c>
      <c r="J20">
        <v>16</v>
      </c>
      <c r="K20">
        <v>2</v>
      </c>
      <c r="L20">
        <v>4328.4936926160399</v>
      </c>
      <c r="M20">
        <v>123.69091599999901</v>
      </c>
      <c r="N20">
        <v>4328.4936926160399</v>
      </c>
      <c r="O20">
        <v>123.69091599999901</v>
      </c>
      <c r="P20">
        <v>1</v>
      </c>
      <c r="Q20">
        <v>0</v>
      </c>
      <c r="R20">
        <v>0</v>
      </c>
      <c r="S20">
        <v>0</v>
      </c>
    </row>
    <row r="21" spans="1:19" x14ac:dyDescent="0.25">
      <c r="A21" t="s">
        <v>27</v>
      </c>
      <c r="B21">
        <v>14204.1</v>
      </c>
      <c r="C21">
        <v>77653.2</v>
      </c>
      <c r="D21">
        <v>138143</v>
      </c>
      <c r="E21">
        <v>3</v>
      </c>
      <c r="F21">
        <v>20</v>
      </c>
      <c r="G21">
        <v>27</v>
      </c>
      <c r="H21">
        <v>2</v>
      </c>
      <c r="I21">
        <v>16</v>
      </c>
      <c r="J21">
        <v>10</v>
      </c>
      <c r="K21">
        <v>2</v>
      </c>
      <c r="L21">
        <v>4328.4936926160399</v>
      </c>
      <c r="M21">
        <v>123.69091599999901</v>
      </c>
      <c r="N21">
        <v>3450.7425085100899</v>
      </c>
      <c r="O21">
        <v>132.01852599999901</v>
      </c>
      <c r="P21">
        <v>1</v>
      </c>
      <c r="Q21">
        <v>3.1540301402882297E-2</v>
      </c>
      <c r="R21">
        <v>2.14497531686965E-2</v>
      </c>
      <c r="S21">
        <v>-3.1540301402882297E-2</v>
      </c>
    </row>
    <row r="22" spans="1:19" x14ac:dyDescent="0.25">
      <c r="A22" t="s">
        <v>28</v>
      </c>
      <c r="B22">
        <v>15167.4</v>
      </c>
      <c r="C22">
        <v>90293.8</v>
      </c>
      <c r="D22">
        <v>138143</v>
      </c>
      <c r="E22">
        <v>3</v>
      </c>
      <c r="F22">
        <v>20</v>
      </c>
      <c r="G22">
        <v>30</v>
      </c>
      <c r="H22">
        <v>1</v>
      </c>
      <c r="I22">
        <v>24</v>
      </c>
      <c r="J22">
        <v>24</v>
      </c>
      <c r="K22">
        <v>2</v>
      </c>
      <c r="L22">
        <v>5869.5486383991001</v>
      </c>
      <c r="M22">
        <v>175.59253200000001</v>
      </c>
      <c r="N22">
        <v>4156.6635266711</v>
      </c>
      <c r="O22">
        <v>169.50366099999999</v>
      </c>
      <c r="P22">
        <v>2</v>
      </c>
      <c r="Q22">
        <v>0</v>
      </c>
      <c r="R22">
        <v>0</v>
      </c>
      <c r="S22">
        <v>-7.6424380219527605E-2</v>
      </c>
    </row>
    <row r="23" spans="1:19" x14ac:dyDescent="0.25">
      <c r="A23" t="s">
        <v>28</v>
      </c>
      <c r="B23">
        <v>15167.4</v>
      </c>
      <c r="C23">
        <v>90293.8</v>
      </c>
      <c r="D23">
        <v>138143</v>
      </c>
      <c r="E23">
        <v>3</v>
      </c>
      <c r="F23">
        <v>20</v>
      </c>
      <c r="G23">
        <v>30</v>
      </c>
      <c r="H23">
        <v>1</v>
      </c>
      <c r="I23">
        <v>24</v>
      </c>
      <c r="J23">
        <v>26</v>
      </c>
      <c r="K23">
        <v>2</v>
      </c>
      <c r="L23">
        <v>5869.5486383991001</v>
      </c>
      <c r="M23">
        <v>175.59253200000001</v>
      </c>
      <c r="N23">
        <v>3110.0454411179398</v>
      </c>
      <c r="O23">
        <v>176.68341699999999</v>
      </c>
      <c r="P23">
        <v>2</v>
      </c>
      <c r="Q23">
        <v>3.7688005979867302E-2</v>
      </c>
      <c r="R23">
        <v>1.7386192208252101E-2</v>
      </c>
      <c r="S23">
        <v>-0.114112386199395</v>
      </c>
    </row>
    <row r="24" spans="1:19" x14ac:dyDescent="0.25">
      <c r="A24" t="s">
        <v>29</v>
      </c>
      <c r="B24">
        <v>11948.7</v>
      </c>
      <c r="C24">
        <v>1</v>
      </c>
      <c r="D24">
        <v>138143</v>
      </c>
      <c r="E24">
        <v>3</v>
      </c>
      <c r="F24">
        <v>20</v>
      </c>
      <c r="G24">
        <v>23</v>
      </c>
      <c r="H24">
        <v>2</v>
      </c>
      <c r="I24">
        <v>8</v>
      </c>
      <c r="J24">
        <v>8</v>
      </c>
      <c r="K24">
        <v>1</v>
      </c>
      <c r="L24">
        <v>0</v>
      </c>
      <c r="M24">
        <v>0</v>
      </c>
      <c r="N24">
        <v>0</v>
      </c>
      <c r="O24">
        <v>0</v>
      </c>
      <c r="P24">
        <v>5</v>
      </c>
      <c r="Q24">
        <v>0</v>
      </c>
      <c r="R24">
        <v>0</v>
      </c>
      <c r="S24">
        <v>0</v>
      </c>
    </row>
    <row r="25" spans="1:19" x14ac:dyDescent="0.25">
      <c r="A25" t="s">
        <v>30</v>
      </c>
      <c r="B25">
        <v>19728.099999999999</v>
      </c>
      <c r="C25">
        <v>1710.4</v>
      </c>
      <c r="D25">
        <v>138143</v>
      </c>
      <c r="E25">
        <v>3</v>
      </c>
      <c r="F25">
        <v>20</v>
      </c>
      <c r="G25">
        <v>31</v>
      </c>
      <c r="H25">
        <v>2</v>
      </c>
      <c r="I25">
        <v>28</v>
      </c>
      <c r="J25">
        <v>58</v>
      </c>
      <c r="K25">
        <v>2</v>
      </c>
      <c r="L25">
        <v>3507.76397875357</v>
      </c>
      <c r="M25">
        <v>25.485223999999999</v>
      </c>
      <c r="N25">
        <v>3507.76397875357</v>
      </c>
      <c r="O25">
        <v>13.231275999999999</v>
      </c>
      <c r="P25">
        <v>5568</v>
      </c>
      <c r="Q25">
        <v>0</v>
      </c>
      <c r="R25">
        <v>0</v>
      </c>
      <c r="S25">
        <v>-3.2188718925684201E-2</v>
      </c>
    </row>
    <row r="26" spans="1:19" x14ac:dyDescent="0.25">
      <c r="A26" t="s">
        <v>30</v>
      </c>
      <c r="B26">
        <v>19728.099999999999</v>
      </c>
      <c r="C26">
        <v>1710.4</v>
      </c>
      <c r="D26">
        <v>138143</v>
      </c>
      <c r="E26">
        <v>3</v>
      </c>
      <c r="F26">
        <v>20</v>
      </c>
      <c r="G26">
        <v>31</v>
      </c>
      <c r="H26">
        <v>2</v>
      </c>
      <c r="I26">
        <v>28</v>
      </c>
      <c r="J26">
        <v>56</v>
      </c>
      <c r="K26">
        <v>2</v>
      </c>
      <c r="L26">
        <v>3507.76397875357</v>
      </c>
      <c r="M26">
        <v>25.485223999999999</v>
      </c>
      <c r="N26">
        <v>3137.5160191295699</v>
      </c>
      <c r="O26">
        <v>39.156778000000003</v>
      </c>
      <c r="P26">
        <v>5855</v>
      </c>
      <c r="Q26">
        <v>1.41931332162374E-2</v>
      </c>
      <c r="R26">
        <v>6.8101210882016594E-2</v>
      </c>
      <c r="S26">
        <v>-4.6381852141921698E-2</v>
      </c>
    </row>
    <row r="27" spans="1:19" x14ac:dyDescent="0.25">
      <c r="A27" t="s">
        <v>31</v>
      </c>
      <c r="B27">
        <v>13203</v>
      </c>
      <c r="C27">
        <v>80936.399999999994</v>
      </c>
      <c r="D27">
        <v>138143</v>
      </c>
      <c r="E27">
        <v>3</v>
      </c>
      <c r="F27">
        <v>20</v>
      </c>
      <c r="G27">
        <v>27</v>
      </c>
      <c r="H27">
        <v>2</v>
      </c>
      <c r="I27">
        <v>16</v>
      </c>
      <c r="J27">
        <v>20</v>
      </c>
      <c r="K27">
        <v>2</v>
      </c>
      <c r="L27">
        <v>3407.8195522358301</v>
      </c>
      <c r="M27">
        <v>61.889142</v>
      </c>
      <c r="N27">
        <v>3171.71219745894</v>
      </c>
      <c r="O27">
        <v>60.539107999999999</v>
      </c>
      <c r="P27">
        <v>1</v>
      </c>
      <c r="Q27">
        <v>0</v>
      </c>
      <c r="R27">
        <v>0</v>
      </c>
      <c r="S27">
        <v>-1.35515062634662E-2</v>
      </c>
    </row>
    <row r="28" spans="1:19" x14ac:dyDescent="0.25">
      <c r="A28" t="s">
        <v>31</v>
      </c>
      <c r="B28">
        <v>13203</v>
      </c>
      <c r="C28">
        <v>80936.399999999994</v>
      </c>
      <c r="D28">
        <v>138143</v>
      </c>
      <c r="E28">
        <v>3</v>
      </c>
      <c r="F28">
        <v>20</v>
      </c>
      <c r="G28">
        <v>27</v>
      </c>
      <c r="H28">
        <v>2</v>
      </c>
      <c r="I28">
        <v>16</v>
      </c>
      <c r="J28">
        <v>20</v>
      </c>
      <c r="K28">
        <v>2</v>
      </c>
      <c r="L28">
        <v>3407.8195522358301</v>
      </c>
      <c r="M28">
        <v>61.889142</v>
      </c>
      <c r="N28">
        <v>2677.0175293124998</v>
      </c>
      <c r="O28">
        <v>61.936892999999998</v>
      </c>
      <c r="P28">
        <v>2</v>
      </c>
      <c r="Q28">
        <v>1.79142786713915E-2</v>
      </c>
      <c r="R28">
        <v>5.1782985913176299E-3</v>
      </c>
      <c r="S28">
        <v>-3.1465784934857799E-2</v>
      </c>
    </row>
    <row r="29" spans="1:19" x14ac:dyDescent="0.25">
      <c r="A29" t="s">
        <v>32</v>
      </c>
      <c r="B29">
        <v>15747.4</v>
      </c>
      <c r="C29">
        <v>55925</v>
      </c>
      <c r="D29">
        <v>138143</v>
      </c>
      <c r="E29">
        <v>3</v>
      </c>
      <c r="F29">
        <v>20</v>
      </c>
      <c r="G29">
        <v>31</v>
      </c>
      <c r="H29">
        <v>2</v>
      </c>
      <c r="I29">
        <v>20</v>
      </c>
      <c r="J29">
        <v>20</v>
      </c>
      <c r="K29">
        <v>2</v>
      </c>
      <c r="L29">
        <v>4611.4049374916303</v>
      </c>
      <c r="M29">
        <v>113.866058</v>
      </c>
      <c r="N29">
        <v>4611.4049374916303</v>
      </c>
      <c r="O29">
        <v>113.866058</v>
      </c>
      <c r="P29">
        <v>4</v>
      </c>
      <c r="Q29">
        <v>0</v>
      </c>
      <c r="R29">
        <v>0</v>
      </c>
      <c r="S29">
        <v>0</v>
      </c>
    </row>
    <row r="30" spans="1:19" x14ac:dyDescent="0.25">
      <c r="A30" t="s">
        <v>32</v>
      </c>
      <c r="B30">
        <v>15747.4</v>
      </c>
      <c r="C30">
        <v>55925</v>
      </c>
      <c r="D30">
        <v>138143</v>
      </c>
      <c r="E30">
        <v>3</v>
      </c>
      <c r="F30">
        <v>20</v>
      </c>
      <c r="G30">
        <v>31</v>
      </c>
      <c r="H30">
        <v>2</v>
      </c>
      <c r="I30">
        <v>20</v>
      </c>
      <c r="J30">
        <v>26</v>
      </c>
      <c r="K30">
        <v>2</v>
      </c>
      <c r="L30">
        <v>4611.4049374916303</v>
      </c>
      <c r="M30">
        <v>113.866058</v>
      </c>
      <c r="N30">
        <v>4600.2446402938804</v>
      </c>
      <c r="O30">
        <v>129.38272699999999</v>
      </c>
      <c r="P30">
        <v>1</v>
      </c>
      <c r="Q30" s="1">
        <v>4.1007035804019299E-4</v>
      </c>
      <c r="R30">
        <v>4.7968889528391498E-2</v>
      </c>
      <c r="S30" s="1">
        <v>-4.1007035804019299E-4</v>
      </c>
    </row>
    <row r="31" spans="1:19" x14ac:dyDescent="0.25">
      <c r="A31" t="s">
        <v>33</v>
      </c>
      <c r="B31">
        <v>15162.8</v>
      </c>
      <c r="C31">
        <v>115778.8</v>
      </c>
      <c r="D31">
        <v>138143</v>
      </c>
      <c r="E31">
        <v>3</v>
      </c>
      <c r="F31">
        <v>20</v>
      </c>
      <c r="G31">
        <v>28</v>
      </c>
      <c r="H31">
        <v>3</v>
      </c>
      <c r="I31">
        <v>24</v>
      </c>
      <c r="J31">
        <v>24</v>
      </c>
      <c r="K31">
        <v>4</v>
      </c>
      <c r="L31">
        <v>7962.9603720007299</v>
      </c>
      <c r="M31">
        <v>94.654105000000001</v>
      </c>
      <c r="N31">
        <v>7262.5218619649704</v>
      </c>
      <c r="O31">
        <v>89.184531000000007</v>
      </c>
      <c r="P31">
        <v>1</v>
      </c>
      <c r="Q31">
        <v>0</v>
      </c>
      <c r="R31">
        <v>0</v>
      </c>
      <c r="S31">
        <v>-4.32872260585059E-2</v>
      </c>
    </row>
    <row r="32" spans="1:19" x14ac:dyDescent="0.25">
      <c r="A32" t="s">
        <v>33</v>
      </c>
      <c r="B32">
        <v>15162.8</v>
      </c>
      <c r="C32">
        <v>115778.8</v>
      </c>
      <c r="D32">
        <v>138143</v>
      </c>
      <c r="E32">
        <v>3</v>
      </c>
      <c r="F32">
        <v>20</v>
      </c>
      <c r="G32">
        <v>28</v>
      </c>
      <c r="H32">
        <v>3</v>
      </c>
      <c r="I32">
        <v>24</v>
      </c>
      <c r="J32">
        <v>20</v>
      </c>
      <c r="K32">
        <v>4</v>
      </c>
      <c r="L32">
        <v>7962.9603720007299</v>
      </c>
      <c r="M32">
        <v>94.654105000000001</v>
      </c>
      <c r="N32">
        <v>6541.9420680885896</v>
      </c>
      <c r="O32">
        <v>92.410805999999994</v>
      </c>
      <c r="P32">
        <v>1</v>
      </c>
      <c r="Q32">
        <v>2.7302004024523999E-2</v>
      </c>
      <c r="R32">
        <v>9.8791597887551898E-3</v>
      </c>
      <c r="S32">
        <v>-7.0589230083030002E-2</v>
      </c>
    </row>
    <row r="33" spans="1:19" x14ac:dyDescent="0.25">
      <c r="A33" t="s">
        <v>33</v>
      </c>
      <c r="B33">
        <v>15162.8</v>
      </c>
      <c r="C33">
        <v>115778.8</v>
      </c>
      <c r="D33">
        <v>138143</v>
      </c>
      <c r="E33">
        <v>3</v>
      </c>
      <c r="F33">
        <v>20</v>
      </c>
      <c r="G33">
        <v>28</v>
      </c>
      <c r="H33">
        <v>3</v>
      </c>
      <c r="I33">
        <v>24</v>
      </c>
      <c r="J33">
        <v>26</v>
      </c>
      <c r="K33">
        <v>4</v>
      </c>
      <c r="L33">
        <v>7962.9603720007299</v>
      </c>
      <c r="M33">
        <v>94.654105000000001</v>
      </c>
      <c r="N33">
        <v>6370.5926566185099</v>
      </c>
      <c r="O33">
        <v>113.798626</v>
      </c>
      <c r="P33">
        <v>1</v>
      </c>
      <c r="Q33">
        <v>6.4922474392315396E-3</v>
      </c>
      <c r="R33">
        <v>6.5491531662098201E-2</v>
      </c>
      <c r="S33">
        <v>-6.7202317733506295E-2</v>
      </c>
    </row>
    <row r="34" spans="1:19" x14ac:dyDescent="0.25">
      <c r="A34" t="s">
        <v>33</v>
      </c>
      <c r="B34">
        <v>15162.8</v>
      </c>
      <c r="C34">
        <v>115778.8</v>
      </c>
      <c r="D34">
        <v>138143</v>
      </c>
      <c r="E34">
        <v>3</v>
      </c>
      <c r="F34">
        <v>20</v>
      </c>
      <c r="G34">
        <v>28</v>
      </c>
      <c r="H34">
        <v>3</v>
      </c>
      <c r="I34">
        <v>24</v>
      </c>
      <c r="J34">
        <v>24</v>
      </c>
      <c r="K34">
        <v>4</v>
      </c>
      <c r="L34">
        <v>7962.9603720007299</v>
      </c>
      <c r="M34">
        <v>94.654105000000001</v>
      </c>
      <c r="N34">
        <v>6285.2081533236196</v>
      </c>
      <c r="O34">
        <v>130.207866</v>
      </c>
      <c r="P34">
        <v>1</v>
      </c>
      <c r="Q34">
        <v>3.2351282569951499E-3</v>
      </c>
      <c r="R34">
        <v>5.0246647905722301E-2</v>
      </c>
      <c r="S34">
        <v>-4.9459143284033003E-3</v>
      </c>
    </row>
    <row r="35" spans="1:19" x14ac:dyDescent="0.25">
      <c r="A35" t="s">
        <v>34</v>
      </c>
      <c r="B35">
        <v>21660</v>
      </c>
      <c r="C35">
        <v>82808.399999999994</v>
      </c>
      <c r="D35">
        <v>138143</v>
      </c>
      <c r="E35">
        <v>3</v>
      </c>
      <c r="F35">
        <v>20</v>
      </c>
      <c r="G35">
        <v>28</v>
      </c>
      <c r="H35">
        <v>2</v>
      </c>
      <c r="I35">
        <v>24</v>
      </c>
      <c r="J35">
        <v>32</v>
      </c>
      <c r="K35">
        <v>3</v>
      </c>
      <c r="L35">
        <v>1776.0507975417499</v>
      </c>
      <c r="M35">
        <v>65.226170999999994</v>
      </c>
      <c r="N35">
        <v>923.36931925976501</v>
      </c>
      <c r="O35">
        <v>52.085451999999997</v>
      </c>
      <c r="P35">
        <v>1</v>
      </c>
      <c r="Q35">
        <v>0</v>
      </c>
      <c r="R35">
        <v>0</v>
      </c>
      <c r="S35">
        <v>-6.6108278860482095E-2</v>
      </c>
    </row>
    <row r="36" spans="1:19" x14ac:dyDescent="0.25">
      <c r="A36" t="s">
        <v>34</v>
      </c>
      <c r="B36">
        <v>21660</v>
      </c>
      <c r="C36">
        <v>82808.399999999994</v>
      </c>
      <c r="D36">
        <v>138143</v>
      </c>
      <c r="E36">
        <v>3</v>
      </c>
      <c r="F36">
        <v>20</v>
      </c>
      <c r="G36">
        <v>28</v>
      </c>
      <c r="H36">
        <v>2</v>
      </c>
      <c r="I36">
        <v>24</v>
      </c>
      <c r="J36">
        <v>30</v>
      </c>
      <c r="K36">
        <v>3</v>
      </c>
      <c r="L36">
        <v>1776.0507975417499</v>
      </c>
      <c r="M36">
        <v>65.226170999999994</v>
      </c>
      <c r="N36">
        <v>856.69335552784901</v>
      </c>
      <c r="O36">
        <v>52.356462999999998</v>
      </c>
      <c r="P36">
        <v>1</v>
      </c>
      <c r="Q36">
        <v>2.4167048954677E-3</v>
      </c>
      <c r="R36" s="1">
        <v>7.2600567984501497E-4</v>
      </c>
      <c r="S36">
        <v>-6.85249837559498E-2</v>
      </c>
    </row>
    <row r="37" spans="1:19" x14ac:dyDescent="0.25">
      <c r="A37" t="s">
        <v>34</v>
      </c>
      <c r="B37">
        <v>21660</v>
      </c>
      <c r="C37">
        <v>82808.399999999994</v>
      </c>
      <c r="D37">
        <v>138143</v>
      </c>
      <c r="E37">
        <v>3</v>
      </c>
      <c r="F37">
        <v>20</v>
      </c>
      <c r="G37">
        <v>28</v>
      </c>
      <c r="H37">
        <v>2</v>
      </c>
      <c r="I37">
        <v>24</v>
      </c>
      <c r="J37">
        <v>24</v>
      </c>
      <c r="K37">
        <v>3</v>
      </c>
      <c r="L37">
        <v>1776.0507975417499</v>
      </c>
      <c r="M37">
        <v>65.226170999999994</v>
      </c>
      <c r="N37">
        <v>800.13052767348199</v>
      </c>
      <c r="O37">
        <v>65.931520999999904</v>
      </c>
      <c r="P37">
        <v>2</v>
      </c>
      <c r="Q37">
        <v>2.0501490391164E-3</v>
      </c>
      <c r="R37">
        <v>3.6365937959069297E-2</v>
      </c>
      <c r="S37">
        <v>-6.9849127115221205E-2</v>
      </c>
    </row>
    <row r="38" spans="1:19" x14ac:dyDescent="0.25">
      <c r="A38" t="s">
        <v>35</v>
      </c>
      <c r="B38">
        <v>22345.8</v>
      </c>
      <c r="C38">
        <v>65665.3</v>
      </c>
      <c r="D38">
        <v>138143</v>
      </c>
      <c r="E38">
        <v>3</v>
      </c>
      <c r="F38">
        <v>20</v>
      </c>
      <c r="G38">
        <v>30</v>
      </c>
      <c r="H38">
        <v>2</v>
      </c>
      <c r="I38">
        <v>24</v>
      </c>
      <c r="J38">
        <v>24</v>
      </c>
      <c r="K38">
        <v>1</v>
      </c>
      <c r="L38">
        <v>4307.6604607870204</v>
      </c>
      <c r="M38">
        <v>149.70265599999999</v>
      </c>
      <c r="N38">
        <v>3556.0463819032102</v>
      </c>
      <c r="O38">
        <v>149.70265599999999</v>
      </c>
      <c r="P38">
        <v>2</v>
      </c>
      <c r="Q38">
        <v>0</v>
      </c>
      <c r="R38">
        <v>0</v>
      </c>
      <c r="S38">
        <v>-2.6935952997939001E-2</v>
      </c>
    </row>
    <row r="39" spans="1:19" x14ac:dyDescent="0.25">
      <c r="A39" t="s">
        <v>36</v>
      </c>
      <c r="B39">
        <v>23287.599999999999</v>
      </c>
      <c r="C39">
        <v>90380.3</v>
      </c>
      <c r="D39">
        <v>138143</v>
      </c>
      <c r="E39">
        <v>3</v>
      </c>
      <c r="F39">
        <v>20</v>
      </c>
      <c r="G39">
        <v>31</v>
      </c>
      <c r="H39">
        <v>1</v>
      </c>
      <c r="I39">
        <v>30</v>
      </c>
      <c r="J39">
        <v>22</v>
      </c>
      <c r="K39">
        <v>1</v>
      </c>
      <c r="L39">
        <v>9295.6351006432596</v>
      </c>
      <c r="M39">
        <v>178.60384499999901</v>
      </c>
      <c r="N39">
        <v>7286.5394916759196</v>
      </c>
      <c r="O39">
        <v>157.372783</v>
      </c>
      <c r="P39">
        <v>3</v>
      </c>
      <c r="Q39">
        <v>0</v>
      </c>
      <c r="R39">
        <v>0</v>
      </c>
      <c r="S39">
        <v>-0.13124027212988701</v>
      </c>
    </row>
    <row r="40" spans="1:19" x14ac:dyDescent="0.25">
      <c r="A40" t="s">
        <v>37</v>
      </c>
      <c r="B40">
        <v>23400.1</v>
      </c>
      <c r="C40">
        <v>47453.8</v>
      </c>
      <c r="D40">
        <v>138143</v>
      </c>
      <c r="E40">
        <v>3</v>
      </c>
      <c r="F40">
        <v>20</v>
      </c>
      <c r="G40">
        <v>25</v>
      </c>
      <c r="H40">
        <v>3</v>
      </c>
      <c r="I40">
        <v>16</v>
      </c>
      <c r="J40">
        <v>22</v>
      </c>
      <c r="K40">
        <v>2</v>
      </c>
      <c r="L40">
        <v>3630.8041964959598</v>
      </c>
      <c r="M40">
        <v>99.281042999999997</v>
      </c>
      <c r="N40">
        <v>3630.8041964959598</v>
      </c>
      <c r="O40">
        <v>97.570257999999995</v>
      </c>
      <c r="P40">
        <v>1</v>
      </c>
      <c r="Q40">
        <v>0</v>
      </c>
      <c r="R40">
        <v>0</v>
      </c>
      <c r="S40">
        <v>-5.5775619094016703E-3</v>
      </c>
    </row>
    <row r="41" spans="1:19" x14ac:dyDescent="0.25">
      <c r="A41" t="s">
        <v>37</v>
      </c>
      <c r="B41">
        <v>23400.1</v>
      </c>
      <c r="C41">
        <v>47453.8</v>
      </c>
      <c r="D41">
        <v>138143</v>
      </c>
      <c r="E41">
        <v>3</v>
      </c>
      <c r="F41">
        <v>20</v>
      </c>
      <c r="G41">
        <v>25</v>
      </c>
      <c r="H41">
        <v>3</v>
      </c>
      <c r="I41">
        <v>16</v>
      </c>
      <c r="J41">
        <v>24</v>
      </c>
      <c r="K41">
        <v>2</v>
      </c>
      <c r="L41">
        <v>3630.8041964959598</v>
      </c>
      <c r="M41">
        <v>99.281042999999997</v>
      </c>
      <c r="N41">
        <v>2943.0771196656601</v>
      </c>
      <c r="O41">
        <v>107.094075</v>
      </c>
      <c r="P41">
        <v>1</v>
      </c>
      <c r="Q41">
        <v>2.4716011769362198E-2</v>
      </c>
      <c r="R41">
        <v>3.10498858309558E-2</v>
      </c>
      <c r="S41">
        <v>-3.02935736787639E-2</v>
      </c>
    </row>
    <row r="42" spans="1:19" x14ac:dyDescent="0.25">
      <c r="A42" t="s">
        <v>38</v>
      </c>
      <c r="B42">
        <v>18665.400000000001</v>
      </c>
      <c r="C42">
        <v>92530.4</v>
      </c>
      <c r="D42">
        <v>138143</v>
      </c>
      <c r="E42">
        <v>3</v>
      </c>
      <c r="F42">
        <v>20</v>
      </c>
      <c r="G42">
        <v>24</v>
      </c>
      <c r="H42">
        <v>3</v>
      </c>
      <c r="I42">
        <v>8</v>
      </c>
      <c r="J42">
        <v>8</v>
      </c>
      <c r="K42">
        <v>4</v>
      </c>
      <c r="L42">
        <v>7373.8942123368697</v>
      </c>
      <c r="M42">
        <v>51.001702999999999</v>
      </c>
      <c r="N42">
        <v>7373.8942123368697</v>
      </c>
      <c r="O42">
        <v>51.001702999999999</v>
      </c>
      <c r="P42">
        <v>2</v>
      </c>
      <c r="Q42">
        <v>0</v>
      </c>
      <c r="R42">
        <v>0</v>
      </c>
      <c r="S42">
        <v>0</v>
      </c>
    </row>
    <row r="43" spans="1:19" x14ac:dyDescent="0.25">
      <c r="A43" t="s">
        <v>38</v>
      </c>
      <c r="B43">
        <v>18665.400000000001</v>
      </c>
      <c r="C43">
        <v>92530.4</v>
      </c>
      <c r="D43">
        <v>138143</v>
      </c>
      <c r="E43">
        <v>3</v>
      </c>
      <c r="F43">
        <v>20</v>
      </c>
      <c r="G43">
        <v>24</v>
      </c>
      <c r="H43">
        <v>3</v>
      </c>
      <c r="I43">
        <v>8</v>
      </c>
      <c r="J43">
        <v>18</v>
      </c>
      <c r="K43">
        <v>4</v>
      </c>
      <c r="L43">
        <v>7373.8942123368697</v>
      </c>
      <c r="M43">
        <v>51.001702999999999</v>
      </c>
      <c r="N43">
        <v>7007.1720803163498</v>
      </c>
      <c r="O43">
        <v>53.525115999999997</v>
      </c>
      <c r="P43">
        <v>1</v>
      </c>
      <c r="Q43">
        <v>1.32668458954664E-2</v>
      </c>
      <c r="R43">
        <v>8.2517347282976793E-3</v>
      </c>
      <c r="S43">
        <v>-1.32668458954664E-2</v>
      </c>
    </row>
    <row r="44" spans="1:19" x14ac:dyDescent="0.25">
      <c r="A44" t="s">
        <v>38</v>
      </c>
      <c r="B44">
        <v>18665.400000000001</v>
      </c>
      <c r="C44">
        <v>92530.4</v>
      </c>
      <c r="D44">
        <v>138143</v>
      </c>
      <c r="E44">
        <v>3</v>
      </c>
      <c r="F44">
        <v>20</v>
      </c>
      <c r="G44">
        <v>24</v>
      </c>
      <c r="H44">
        <v>3</v>
      </c>
      <c r="I44">
        <v>8</v>
      </c>
      <c r="J44">
        <v>14</v>
      </c>
      <c r="K44">
        <v>4</v>
      </c>
      <c r="L44">
        <v>7373.8942123368697</v>
      </c>
      <c r="M44">
        <v>51.001702999999999</v>
      </c>
      <c r="N44">
        <v>6739.9992875274402</v>
      </c>
      <c r="O44">
        <v>82.334175000000002</v>
      </c>
      <c r="P44">
        <v>1</v>
      </c>
      <c r="Q44">
        <v>9.6654659206486492E-3</v>
      </c>
      <c r="R44">
        <v>9.4207611928716101E-2</v>
      </c>
      <c r="S44">
        <v>-1.4680577087817399E-2</v>
      </c>
    </row>
    <row r="45" spans="1:19" x14ac:dyDescent="0.25">
      <c r="A45" t="s">
        <v>38</v>
      </c>
      <c r="B45">
        <v>18665.400000000001</v>
      </c>
      <c r="C45">
        <v>92530.4</v>
      </c>
      <c r="D45">
        <v>138143</v>
      </c>
      <c r="E45">
        <v>3</v>
      </c>
      <c r="F45">
        <v>20</v>
      </c>
      <c r="G45">
        <v>24</v>
      </c>
      <c r="H45">
        <v>3</v>
      </c>
      <c r="I45">
        <v>8</v>
      </c>
      <c r="J45">
        <v>16</v>
      </c>
      <c r="K45">
        <v>4</v>
      </c>
      <c r="L45">
        <v>7373.8942123368697</v>
      </c>
      <c r="M45">
        <v>51.001702999999999</v>
      </c>
      <c r="N45">
        <v>6361.8077404589703</v>
      </c>
      <c r="O45">
        <v>92.092522000000002</v>
      </c>
      <c r="P45">
        <v>1</v>
      </c>
      <c r="Q45">
        <v>1.36817730260268E-2</v>
      </c>
      <c r="R45">
        <v>3.1910468413485799E-2</v>
      </c>
      <c r="S45">
        <v>6.5845261814871894E-2</v>
      </c>
    </row>
    <row r="46" spans="1:19" x14ac:dyDescent="0.25">
      <c r="A46" t="s">
        <v>39</v>
      </c>
      <c r="B46">
        <v>21736.7</v>
      </c>
      <c r="C46">
        <v>24295.3</v>
      </c>
      <c r="D46">
        <v>138143</v>
      </c>
      <c r="E46">
        <v>3</v>
      </c>
      <c r="F46">
        <v>20</v>
      </c>
      <c r="G46">
        <v>31</v>
      </c>
      <c r="H46">
        <v>2</v>
      </c>
      <c r="I46">
        <v>24</v>
      </c>
      <c r="J46">
        <v>42</v>
      </c>
      <c r="K46">
        <v>2</v>
      </c>
      <c r="L46">
        <v>5032.66918434529</v>
      </c>
      <c r="M46">
        <v>92.104409000000004</v>
      </c>
      <c r="N46">
        <v>5032.66918434529</v>
      </c>
      <c r="O46">
        <v>65.731995999999995</v>
      </c>
      <c r="P46">
        <v>156</v>
      </c>
      <c r="Q46">
        <v>0</v>
      </c>
      <c r="R46">
        <v>0</v>
      </c>
      <c r="S46">
        <v>-6.3130131636663006E-2</v>
      </c>
    </row>
    <row r="47" spans="1:19" x14ac:dyDescent="0.25">
      <c r="A47" t="s">
        <v>39</v>
      </c>
      <c r="B47">
        <v>21736.7</v>
      </c>
      <c r="C47">
        <v>24295.3</v>
      </c>
      <c r="D47">
        <v>138143</v>
      </c>
      <c r="E47">
        <v>3</v>
      </c>
      <c r="F47">
        <v>20</v>
      </c>
      <c r="G47">
        <v>31</v>
      </c>
      <c r="H47">
        <v>2</v>
      </c>
      <c r="I47">
        <v>24</v>
      </c>
      <c r="J47">
        <v>42</v>
      </c>
      <c r="K47">
        <v>2</v>
      </c>
      <c r="L47">
        <v>5032.66918434529</v>
      </c>
      <c r="M47">
        <v>92.104409000000004</v>
      </c>
      <c r="N47">
        <v>4314.1058143627197</v>
      </c>
      <c r="O47">
        <v>90.793059999999997</v>
      </c>
      <c r="P47">
        <v>182</v>
      </c>
      <c r="Q47">
        <v>2.5945216574186501E-2</v>
      </c>
      <c r="R47">
        <v>5.9991031889074301E-2</v>
      </c>
      <c r="S47">
        <v>-8.90753482108496E-2</v>
      </c>
    </row>
    <row r="48" spans="1:19" x14ac:dyDescent="0.25">
      <c r="A48" t="s">
        <v>40</v>
      </c>
      <c r="B48">
        <v>13612</v>
      </c>
      <c r="C48">
        <v>1</v>
      </c>
      <c r="D48">
        <v>138143</v>
      </c>
      <c r="E48">
        <v>3</v>
      </c>
      <c r="F48">
        <v>20</v>
      </c>
      <c r="G48">
        <v>25</v>
      </c>
      <c r="H48">
        <v>3</v>
      </c>
      <c r="I48">
        <v>8</v>
      </c>
      <c r="J48">
        <v>8</v>
      </c>
      <c r="K48">
        <v>1</v>
      </c>
      <c r="L48">
        <v>0</v>
      </c>
      <c r="M48">
        <v>46.135564000000002</v>
      </c>
      <c r="N48">
        <v>0</v>
      </c>
      <c r="O48">
        <v>46.135564000000002</v>
      </c>
      <c r="P48">
        <v>3</v>
      </c>
      <c r="Q48">
        <v>0</v>
      </c>
      <c r="R48">
        <v>0</v>
      </c>
      <c r="S48">
        <v>0</v>
      </c>
    </row>
    <row r="49" spans="1:19" x14ac:dyDescent="0.25">
      <c r="A49" t="s">
        <v>41</v>
      </c>
      <c r="B49">
        <v>14935.3</v>
      </c>
      <c r="C49">
        <v>110004.2</v>
      </c>
      <c r="D49">
        <v>138143</v>
      </c>
      <c r="E49">
        <v>3</v>
      </c>
      <c r="F49">
        <v>20</v>
      </c>
      <c r="G49">
        <v>29</v>
      </c>
      <c r="H49">
        <v>2</v>
      </c>
      <c r="I49">
        <v>16</v>
      </c>
      <c r="J49">
        <v>16</v>
      </c>
      <c r="K49">
        <v>5</v>
      </c>
      <c r="L49">
        <v>2828.2343027389202</v>
      </c>
      <c r="M49">
        <v>97.672105000000002</v>
      </c>
      <c r="N49">
        <v>2828.2343027389202</v>
      </c>
      <c r="O49">
        <v>97.672105000000002</v>
      </c>
      <c r="P49">
        <v>2</v>
      </c>
      <c r="Q49">
        <v>0</v>
      </c>
      <c r="R49">
        <v>0</v>
      </c>
      <c r="S49">
        <v>0</v>
      </c>
    </row>
    <row r="50" spans="1:19" x14ac:dyDescent="0.25">
      <c r="A50" t="s">
        <v>41</v>
      </c>
      <c r="B50">
        <v>14935.3</v>
      </c>
      <c r="C50">
        <v>110004.2</v>
      </c>
      <c r="D50">
        <v>138143</v>
      </c>
      <c r="E50">
        <v>3</v>
      </c>
      <c r="F50">
        <v>20</v>
      </c>
      <c r="G50">
        <v>29</v>
      </c>
      <c r="H50">
        <v>2</v>
      </c>
      <c r="I50">
        <v>16</v>
      </c>
      <c r="J50">
        <v>14</v>
      </c>
      <c r="K50">
        <v>5</v>
      </c>
      <c r="L50">
        <v>2828.2343027389202</v>
      </c>
      <c r="M50">
        <v>97.672105000000002</v>
      </c>
      <c r="N50">
        <v>2675.4771017210901</v>
      </c>
      <c r="O50">
        <v>124.389039</v>
      </c>
      <c r="P50">
        <v>1</v>
      </c>
      <c r="Q50">
        <v>5.6294635358107104E-3</v>
      </c>
      <c r="R50">
        <v>7.92534385367063E-2</v>
      </c>
      <c r="S50">
        <v>-5.6294635358107104E-3</v>
      </c>
    </row>
    <row r="51" spans="1:19" x14ac:dyDescent="0.25">
      <c r="A51" t="s">
        <v>41</v>
      </c>
      <c r="B51">
        <v>14935.3</v>
      </c>
      <c r="C51">
        <v>110004.2</v>
      </c>
      <c r="D51">
        <v>138143</v>
      </c>
      <c r="E51">
        <v>3</v>
      </c>
      <c r="F51">
        <v>20</v>
      </c>
      <c r="G51">
        <v>29</v>
      </c>
      <c r="H51">
        <v>2</v>
      </c>
      <c r="I51">
        <v>16</v>
      </c>
      <c r="J51">
        <v>22</v>
      </c>
      <c r="K51">
        <v>5</v>
      </c>
      <c r="L51">
        <v>2828.2343027389202</v>
      </c>
      <c r="M51">
        <v>97.672105000000002</v>
      </c>
      <c r="N51">
        <v>2647.6988910544801</v>
      </c>
      <c r="O51">
        <v>136.92884599999999</v>
      </c>
      <c r="P51">
        <v>1</v>
      </c>
      <c r="Q51">
        <v>1.02369265079348E-3</v>
      </c>
      <c r="R51">
        <v>3.71982362698004E-2</v>
      </c>
      <c r="S51">
        <v>7.2600282350102102E-2</v>
      </c>
    </row>
    <row r="52" spans="1:19" x14ac:dyDescent="0.25">
      <c r="A52" t="s">
        <v>41</v>
      </c>
      <c r="B52">
        <v>14935.3</v>
      </c>
      <c r="C52">
        <v>110004.2</v>
      </c>
      <c r="D52">
        <v>138143</v>
      </c>
      <c r="E52">
        <v>3</v>
      </c>
      <c r="F52">
        <v>20</v>
      </c>
      <c r="G52">
        <v>29</v>
      </c>
      <c r="H52">
        <v>2</v>
      </c>
      <c r="I52">
        <v>16</v>
      </c>
      <c r="J52">
        <v>18</v>
      </c>
      <c r="K52">
        <v>5</v>
      </c>
      <c r="L52">
        <v>2828.2343027389202</v>
      </c>
      <c r="M52">
        <v>97.672105000000002</v>
      </c>
      <c r="N52">
        <v>2647.63953307459</v>
      </c>
      <c r="O52">
        <v>139.068702</v>
      </c>
      <c r="P52">
        <v>1</v>
      </c>
      <c r="Q52" s="1">
        <v>2.1874817104222601E-6</v>
      </c>
      <c r="R52">
        <v>6.3476949104040404E-3</v>
      </c>
      <c r="S52">
        <v>0.109796331138192</v>
      </c>
    </row>
    <row r="53" spans="1:19" x14ac:dyDescent="0.25">
      <c r="A53" t="s">
        <v>41</v>
      </c>
      <c r="B53">
        <v>14935.3</v>
      </c>
      <c r="C53">
        <v>110004.2</v>
      </c>
      <c r="D53">
        <v>138143</v>
      </c>
      <c r="E53">
        <v>3</v>
      </c>
      <c r="F53">
        <v>20</v>
      </c>
      <c r="G53">
        <v>29</v>
      </c>
      <c r="H53">
        <v>2</v>
      </c>
      <c r="I53">
        <v>16</v>
      </c>
      <c r="J53">
        <v>24</v>
      </c>
      <c r="K53">
        <v>5</v>
      </c>
      <c r="L53">
        <v>2828.2343027389202</v>
      </c>
      <c r="M53">
        <v>97.672105000000002</v>
      </c>
      <c r="N53">
        <v>2494.7428376623898</v>
      </c>
      <c r="O53">
        <v>150.021299</v>
      </c>
      <c r="P53">
        <v>3</v>
      </c>
      <c r="Q53">
        <v>5.6346042336066302E-3</v>
      </c>
      <c r="R53">
        <v>3.2489917187234603E-2</v>
      </c>
      <c r="S53">
        <v>0.110509421814989</v>
      </c>
    </row>
    <row r="54" spans="1:19" x14ac:dyDescent="0.25">
      <c r="A54" t="s">
        <v>42</v>
      </c>
      <c r="B54">
        <v>16084.1</v>
      </c>
      <c r="C54">
        <v>71877.8</v>
      </c>
      <c r="D54">
        <v>138143</v>
      </c>
      <c r="E54">
        <v>3</v>
      </c>
      <c r="F54">
        <v>20</v>
      </c>
      <c r="G54">
        <v>28</v>
      </c>
      <c r="H54">
        <v>2</v>
      </c>
      <c r="I54">
        <v>22</v>
      </c>
      <c r="J54">
        <v>26</v>
      </c>
      <c r="K54">
        <v>3</v>
      </c>
      <c r="L54">
        <v>5086.2050216395901</v>
      </c>
      <c r="M54">
        <v>127.618145</v>
      </c>
      <c r="N54">
        <v>5086.2050216395901</v>
      </c>
      <c r="O54">
        <v>115.351668</v>
      </c>
      <c r="P54">
        <v>1</v>
      </c>
      <c r="Q54">
        <v>0</v>
      </c>
      <c r="R54">
        <v>0</v>
      </c>
      <c r="S54">
        <v>-3.9598860866490303E-2</v>
      </c>
    </row>
    <row r="55" spans="1:19" x14ac:dyDescent="0.25">
      <c r="A55" t="s">
        <v>42</v>
      </c>
      <c r="B55">
        <v>16084.1</v>
      </c>
      <c r="C55">
        <v>71877.8</v>
      </c>
      <c r="D55">
        <v>138143</v>
      </c>
      <c r="E55">
        <v>3</v>
      </c>
      <c r="F55">
        <v>20</v>
      </c>
      <c r="G55">
        <v>28</v>
      </c>
      <c r="H55">
        <v>2</v>
      </c>
      <c r="I55">
        <v>22</v>
      </c>
      <c r="J55">
        <v>22</v>
      </c>
      <c r="K55">
        <v>3</v>
      </c>
      <c r="L55">
        <v>5086.2050216395901</v>
      </c>
      <c r="M55">
        <v>127.618145</v>
      </c>
      <c r="N55">
        <v>4509.3796450834998</v>
      </c>
      <c r="O55">
        <v>128.00390199999899</v>
      </c>
      <c r="P55">
        <v>3</v>
      </c>
      <c r="Q55">
        <v>2.0951981702331101E-2</v>
      </c>
      <c r="R55">
        <v>4.0844168526650002E-2</v>
      </c>
      <c r="S55">
        <v>-6.05508425688214E-2</v>
      </c>
    </row>
    <row r="56" spans="1:19" x14ac:dyDescent="0.25">
      <c r="A56" t="s">
        <v>42</v>
      </c>
      <c r="B56">
        <v>16084.1</v>
      </c>
      <c r="C56">
        <v>71877.8</v>
      </c>
      <c r="D56">
        <v>138143</v>
      </c>
      <c r="E56">
        <v>3</v>
      </c>
      <c r="F56">
        <v>20</v>
      </c>
      <c r="G56">
        <v>28</v>
      </c>
      <c r="H56">
        <v>2</v>
      </c>
      <c r="I56">
        <v>22</v>
      </c>
      <c r="J56">
        <v>30</v>
      </c>
      <c r="K56">
        <v>3</v>
      </c>
      <c r="L56">
        <v>5086.2050216395901</v>
      </c>
      <c r="M56">
        <v>127.618145</v>
      </c>
      <c r="N56">
        <v>4383.3415888383597</v>
      </c>
      <c r="O56">
        <v>149.389219</v>
      </c>
      <c r="P56">
        <v>3</v>
      </c>
      <c r="Q56">
        <v>4.5780701674606999E-3</v>
      </c>
      <c r="R56">
        <v>6.9036463563971306E-2</v>
      </c>
      <c r="S56">
        <v>-2.42847442096321E-2</v>
      </c>
    </row>
    <row r="57" spans="1:19" x14ac:dyDescent="0.25">
      <c r="A57" t="s">
        <v>43</v>
      </c>
      <c r="B57">
        <v>15151.4</v>
      </c>
      <c r="C57">
        <v>2030.3</v>
      </c>
      <c r="D57">
        <v>138143</v>
      </c>
      <c r="E57">
        <v>3</v>
      </c>
      <c r="F57">
        <v>20</v>
      </c>
      <c r="G57">
        <v>28</v>
      </c>
      <c r="H57">
        <v>3</v>
      </c>
      <c r="I57">
        <v>16</v>
      </c>
      <c r="J57">
        <v>28</v>
      </c>
      <c r="K57">
        <v>2</v>
      </c>
      <c r="L57">
        <v>3402.2851255741498</v>
      </c>
      <c r="M57">
        <v>48.974395999999999</v>
      </c>
      <c r="N57">
        <v>3255.3564152871199</v>
      </c>
      <c r="O57">
        <v>40.777555999999997</v>
      </c>
      <c r="P57">
        <v>5343</v>
      </c>
      <c r="Q57">
        <v>0</v>
      </c>
      <c r="R57">
        <v>0</v>
      </c>
      <c r="S57">
        <v>-2.8620811899132199E-2</v>
      </c>
    </row>
    <row r="58" spans="1:19" x14ac:dyDescent="0.25">
      <c r="A58" t="s">
        <v>43</v>
      </c>
      <c r="B58">
        <v>15151.4</v>
      </c>
      <c r="C58">
        <v>2030.3</v>
      </c>
      <c r="D58">
        <v>138143</v>
      </c>
      <c r="E58">
        <v>3</v>
      </c>
      <c r="F58">
        <v>20</v>
      </c>
      <c r="G58">
        <v>28</v>
      </c>
      <c r="H58">
        <v>3</v>
      </c>
      <c r="I58">
        <v>16</v>
      </c>
      <c r="J58">
        <v>38</v>
      </c>
      <c r="K58">
        <v>2</v>
      </c>
      <c r="L58">
        <v>3402.2851255741498</v>
      </c>
      <c r="M58">
        <v>48.974395999999999</v>
      </c>
      <c r="N58">
        <v>2427.7162548848801</v>
      </c>
      <c r="O58">
        <v>66.537267</v>
      </c>
      <c r="P58">
        <v>5621</v>
      </c>
      <c r="Q58">
        <v>3.1420259865502599E-2</v>
      </c>
      <c r="R58">
        <v>7.24153911959865E-2</v>
      </c>
      <c r="S58">
        <v>-6.0041071764634801E-2</v>
      </c>
    </row>
    <row r="59" spans="1:19" x14ac:dyDescent="0.25">
      <c r="A59" t="s">
        <v>44</v>
      </c>
      <c r="B59">
        <v>11947.6</v>
      </c>
      <c r="C59">
        <v>29127.5</v>
      </c>
      <c r="D59">
        <v>138143</v>
      </c>
      <c r="E59">
        <v>3</v>
      </c>
      <c r="F59">
        <v>20</v>
      </c>
      <c r="G59">
        <v>24</v>
      </c>
      <c r="H59">
        <v>3</v>
      </c>
      <c r="I59">
        <v>12</v>
      </c>
      <c r="J59">
        <v>16</v>
      </c>
      <c r="K59">
        <v>2</v>
      </c>
      <c r="L59">
        <v>3772.0920515287999</v>
      </c>
      <c r="M59">
        <v>48.205339000000002</v>
      </c>
      <c r="N59">
        <v>3772.0920515287999</v>
      </c>
      <c r="O59">
        <v>39.575111999999997</v>
      </c>
      <c r="P59">
        <v>1</v>
      </c>
      <c r="Q59">
        <v>0</v>
      </c>
      <c r="R59">
        <v>0</v>
      </c>
      <c r="S59">
        <v>-2.7483083595898902E-2</v>
      </c>
    </row>
    <row r="60" spans="1:19" x14ac:dyDescent="0.25">
      <c r="A60" t="s">
        <v>44</v>
      </c>
      <c r="B60">
        <v>11947.6</v>
      </c>
      <c r="C60">
        <v>29127.5</v>
      </c>
      <c r="D60">
        <v>138143</v>
      </c>
      <c r="E60">
        <v>3</v>
      </c>
      <c r="F60">
        <v>20</v>
      </c>
      <c r="G60">
        <v>24</v>
      </c>
      <c r="H60">
        <v>3</v>
      </c>
      <c r="I60">
        <v>12</v>
      </c>
      <c r="J60">
        <v>10</v>
      </c>
      <c r="K60">
        <v>2</v>
      </c>
      <c r="L60">
        <v>3772.0920515287999</v>
      </c>
      <c r="M60">
        <v>48.205339000000002</v>
      </c>
      <c r="N60">
        <v>3498.0468888997498</v>
      </c>
      <c r="O60">
        <v>73.374855999999994</v>
      </c>
      <c r="P60">
        <v>4</v>
      </c>
      <c r="Q60">
        <v>9.8162991824083095E-3</v>
      </c>
      <c r="R60">
        <v>0.107635777120576</v>
      </c>
      <c r="S60">
        <v>-3.7299382778307202E-2</v>
      </c>
    </row>
    <row r="61" spans="1:19" x14ac:dyDescent="0.25">
      <c r="A61" t="s">
        <v>45</v>
      </c>
      <c r="B61">
        <v>12806.7</v>
      </c>
      <c r="C61">
        <v>1</v>
      </c>
      <c r="D61">
        <v>138143</v>
      </c>
      <c r="E61">
        <v>3</v>
      </c>
      <c r="F61">
        <v>20</v>
      </c>
      <c r="G61">
        <v>27</v>
      </c>
      <c r="H61">
        <v>1</v>
      </c>
      <c r="I61">
        <v>18</v>
      </c>
      <c r="J61">
        <v>18</v>
      </c>
      <c r="K61">
        <v>1</v>
      </c>
      <c r="L61">
        <v>3348.5785027237298</v>
      </c>
      <c r="M61">
        <v>139.71910499999899</v>
      </c>
      <c r="N61">
        <v>3348.5785027237298</v>
      </c>
      <c r="O61">
        <v>139.71910499999899</v>
      </c>
      <c r="P61">
        <v>2</v>
      </c>
      <c r="Q61">
        <v>0</v>
      </c>
      <c r="R61">
        <v>0</v>
      </c>
      <c r="S61">
        <v>0</v>
      </c>
    </row>
    <row r="62" spans="1:19" x14ac:dyDescent="0.25">
      <c r="A62" t="s">
        <v>46</v>
      </c>
      <c r="B62">
        <v>12248.1</v>
      </c>
      <c r="C62">
        <v>84634.9</v>
      </c>
      <c r="D62">
        <v>138143</v>
      </c>
      <c r="E62">
        <v>3</v>
      </c>
      <c r="F62">
        <v>20</v>
      </c>
      <c r="G62">
        <v>23</v>
      </c>
      <c r="H62">
        <v>1</v>
      </c>
      <c r="I62">
        <v>8</v>
      </c>
      <c r="J62">
        <v>20</v>
      </c>
      <c r="K62">
        <v>2</v>
      </c>
      <c r="L62">
        <v>6051.53734641348</v>
      </c>
      <c r="M62">
        <v>48.442883999999999</v>
      </c>
      <c r="N62">
        <v>5940.0658303647197</v>
      </c>
      <c r="O62">
        <v>37.565480999999998</v>
      </c>
      <c r="P62">
        <v>5</v>
      </c>
      <c r="Q62">
        <v>0</v>
      </c>
      <c r="R62">
        <v>0</v>
      </c>
      <c r="S62">
        <v>-4.3642404339464799E-2</v>
      </c>
    </row>
    <row r="63" spans="1:19" x14ac:dyDescent="0.25">
      <c r="A63" t="s">
        <v>46</v>
      </c>
      <c r="B63">
        <v>12248.1</v>
      </c>
      <c r="C63">
        <v>84634.9</v>
      </c>
      <c r="D63">
        <v>138143</v>
      </c>
      <c r="E63">
        <v>3</v>
      </c>
      <c r="F63">
        <v>20</v>
      </c>
      <c r="G63">
        <v>23</v>
      </c>
      <c r="H63">
        <v>1</v>
      </c>
      <c r="I63">
        <v>8</v>
      </c>
      <c r="J63">
        <v>18</v>
      </c>
      <c r="K63">
        <v>2</v>
      </c>
      <c r="L63">
        <v>6051.53734641348</v>
      </c>
      <c r="M63">
        <v>48.442883999999999</v>
      </c>
      <c r="N63">
        <v>5686.8741753643199</v>
      </c>
      <c r="O63">
        <v>63.818238999999998</v>
      </c>
      <c r="P63">
        <v>1</v>
      </c>
      <c r="Q63">
        <v>9.3870548513974496E-3</v>
      </c>
      <c r="R63">
        <v>9.5356971658119793E-2</v>
      </c>
      <c r="S63">
        <v>-5.3029459190862299E-2</v>
      </c>
    </row>
    <row r="64" spans="1:19" x14ac:dyDescent="0.25">
      <c r="A64" t="s">
        <v>47</v>
      </c>
      <c r="B64">
        <v>14140.8</v>
      </c>
      <c r="C64">
        <v>5500.8</v>
      </c>
      <c r="D64">
        <v>138143</v>
      </c>
      <c r="E64">
        <v>3</v>
      </c>
      <c r="F64">
        <v>20</v>
      </c>
      <c r="G64">
        <v>27</v>
      </c>
      <c r="H64">
        <v>2</v>
      </c>
      <c r="I64">
        <v>16</v>
      </c>
      <c r="J64">
        <v>22</v>
      </c>
      <c r="K64">
        <v>2</v>
      </c>
      <c r="L64">
        <v>2721.1490679142398</v>
      </c>
      <c r="M64">
        <v>138.49139400000001</v>
      </c>
      <c r="N64">
        <v>3433.0883752474401</v>
      </c>
      <c r="O64">
        <v>136.78027399999999</v>
      </c>
      <c r="P64">
        <v>1</v>
      </c>
      <c r="Q64">
        <v>0</v>
      </c>
      <c r="R64">
        <v>0</v>
      </c>
      <c r="S64">
        <v>2.1502202783799999E-2</v>
      </c>
    </row>
    <row r="65" spans="1:19" x14ac:dyDescent="0.25">
      <c r="A65" t="s">
        <v>47</v>
      </c>
      <c r="B65">
        <v>14140.8</v>
      </c>
      <c r="C65">
        <v>5500.8</v>
      </c>
      <c r="D65">
        <v>138143</v>
      </c>
      <c r="E65">
        <v>3</v>
      </c>
      <c r="F65">
        <v>20</v>
      </c>
      <c r="G65">
        <v>27</v>
      </c>
      <c r="H65">
        <v>2</v>
      </c>
      <c r="I65">
        <v>16</v>
      </c>
      <c r="J65">
        <v>16</v>
      </c>
      <c r="K65">
        <v>2</v>
      </c>
      <c r="L65">
        <v>2721.1490679142398</v>
      </c>
      <c r="M65">
        <v>138.49139400000001</v>
      </c>
      <c r="N65">
        <v>2721.1490679142398</v>
      </c>
      <c r="O65">
        <v>138.49139400000001</v>
      </c>
      <c r="P65">
        <v>2</v>
      </c>
      <c r="Q65">
        <v>2.66534782708833E-2</v>
      </c>
      <c r="R65">
        <v>5.1512754870833202E-3</v>
      </c>
      <c r="S65">
        <v>-5.1512754870833202E-3</v>
      </c>
    </row>
    <row r="66" spans="1:19" x14ac:dyDescent="0.25">
      <c r="A66" t="s">
        <v>48</v>
      </c>
      <c r="B66">
        <v>12838.9</v>
      </c>
      <c r="C66">
        <v>5982.8</v>
      </c>
      <c r="D66">
        <v>138143</v>
      </c>
      <c r="E66">
        <v>3</v>
      </c>
      <c r="F66">
        <v>20</v>
      </c>
      <c r="G66">
        <v>28</v>
      </c>
      <c r="H66">
        <v>1</v>
      </c>
      <c r="I66">
        <v>20</v>
      </c>
      <c r="J66">
        <v>28</v>
      </c>
      <c r="K66">
        <v>1</v>
      </c>
      <c r="L66">
        <v>3501.1266002812999</v>
      </c>
      <c r="M66">
        <v>28.227296999999901</v>
      </c>
      <c r="N66">
        <v>2074.53495314866</v>
      </c>
      <c r="O66">
        <v>4.2780719999999999</v>
      </c>
      <c r="P66">
        <v>318</v>
      </c>
      <c r="Q66">
        <v>0</v>
      </c>
      <c r="R66">
        <v>0</v>
      </c>
      <c r="S66">
        <v>-0.118518255965117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P3_20_500_summary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Cardoso</cp:lastModifiedBy>
  <dcterms:created xsi:type="dcterms:W3CDTF">2026-09-09T08:58:25Z</dcterms:created>
  <dcterms:modified xsi:type="dcterms:W3CDTF">2026-09-09T08:58:25Z</dcterms:modified>
</cp:coreProperties>
</file>