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8_{BBC98B6B-4D66-450C-9582-E4C0BF8F504D}" xr6:coauthVersionLast="47" xr6:coauthVersionMax="47" xr10:uidLastSave="{00000000-0000-0000-0000-000000000000}"/>
  <bookViews>
    <workbookView xWindow="-120" yWindow="-120" windowWidth="29040" windowHeight="15840" xr2:uid="{503736D7-4468-4855-85F8-06E0B49EC7A6}"/>
  </bookViews>
  <sheets>
    <sheet name="P3_40_summary" sheetId="1" r:id="rId1"/>
  </sheets>
  <calcPr calcId="0"/>
</workbook>
</file>

<file path=xl/calcChain.xml><?xml version="1.0" encoding="utf-8"?>
<calcChain xmlns="http://schemas.openxmlformats.org/spreadsheetml/2006/main">
  <c r="Z2" i="1" l="1"/>
  <c r="Y2" i="1"/>
  <c r="X2" i="1"/>
  <c r="W2" i="1"/>
  <c r="V2" i="1"/>
</calcChain>
</file>

<file path=xl/sharedStrings.xml><?xml version="1.0" encoding="utf-8"?>
<sst xmlns="http://schemas.openxmlformats.org/spreadsheetml/2006/main" count="132" uniqueCount="55">
  <si>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</si>
  <si>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</si>
  <si>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</si>
  <si>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</si>
  <si>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</si>
  <si>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</si>
  <si>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</si>
  <si>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</si>
  <si>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</si>
  <si>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</si>
  <si>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</si>
  <si>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</si>
  <si>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</si>
  <si>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</si>
  <si>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</si>
  <si>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</si>
  <si>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</si>
  <si>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</si>
  <si>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</si>
  <si>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P3_40_1</t>
  </si>
  <si>
    <t>P3_40_10</t>
  </si>
  <si>
    <t>P3_40_11</t>
  </si>
  <si>
    <t>P3_40_12</t>
  </si>
  <si>
    <t>P3_40_13</t>
  </si>
  <si>
    <t>P3_40_14</t>
  </si>
  <si>
    <t>P3_40_15</t>
  </si>
  <si>
    <t>P3_40_16</t>
  </si>
  <si>
    <t>P3_40_17</t>
  </si>
  <si>
    <t>P3_40_18</t>
  </si>
  <si>
    <t>P3_40_19</t>
  </si>
  <si>
    <t>P3_40_2</t>
  </si>
  <si>
    <t>P3_40_20</t>
  </si>
  <si>
    <t>P3_40_21</t>
  </si>
  <si>
    <t>P3_40_22</t>
  </si>
  <si>
    <t>P3_40_23</t>
  </si>
  <si>
    <t>P3_40_24</t>
  </si>
  <si>
    <t>P3_40_25</t>
  </si>
  <si>
    <t>P3_40_26</t>
  </si>
  <si>
    <t>P3_40_27</t>
  </si>
  <si>
    <t>P3_40_28</t>
  </si>
  <si>
    <t>P3_40_29</t>
  </si>
  <si>
    <t>P3_40_3</t>
  </si>
  <si>
    <t>P3_40_30</t>
  </si>
  <si>
    <t>P3_40_4</t>
  </si>
  <si>
    <t>P3_40_5</t>
  </si>
  <si>
    <t>P3_40_6</t>
  </si>
  <si>
    <t>P3_40_7</t>
  </si>
  <si>
    <t>P3_40_8</t>
  </si>
  <si>
    <t>P3_40_9</t>
  </si>
  <si>
    <t>Tempo médio</t>
  </si>
  <si>
    <t>Desvio padrão</t>
  </si>
  <si>
    <t>Média estabilizar</t>
  </si>
  <si>
    <t>2 sols</t>
  </si>
  <si>
    <t>3+sols</t>
  </si>
  <si>
    <t>Sol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</si>
</sst>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7716-C14E-4649-90A5-DE5C95111748}">
  <dimension ref="A1:AA108"/>
  <sheetViews>
    <sheetView tabSelected="1" workbookViewId="0">
      <selection activeCell="Z3" sqref="Z3"/>
    </sheetView>
  </sheetViews>
  <sheetFormatPr defaultRowHeight="15" x14ac:dyDescent="0.25"/>
  <cols>
    <col min="25" max="25" width="6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</row>
    <row r="2" spans="1:27" x14ac:dyDescent="0.25">
      <c r="A2" t="s">
        <v>19</v>
      </c>
      <c r="B2">
        <v>154575.20000000001</v>
      </c>
      <c r="C2">
        <v>15723.1</v>
      </c>
      <c r="D2">
        <v>138143</v>
      </c>
      <c r="E2">
        <v>3</v>
      </c>
      <c r="F2">
        <v>40</v>
      </c>
      <c r="G2">
        <v>158</v>
      </c>
      <c r="H2">
        <v>3</v>
      </c>
      <c r="I2">
        <v>186</v>
      </c>
      <c r="J2">
        <v>204</v>
      </c>
      <c r="K2">
        <v>1</v>
      </c>
      <c r="L2">
        <v>9787.9367246354996</v>
      </c>
      <c r="M2">
        <v>721.43379099999902</v>
      </c>
      <c r="N2">
        <v>9787.9367246354996</v>
      </c>
      <c r="O2">
        <v>708.03554799999995</v>
      </c>
      <c r="P2">
        <v>2</v>
      </c>
      <c r="Q2">
        <v>0</v>
      </c>
      <c r="R2">
        <v>0</v>
      </c>
      <c r="S2">
        <v>-8.7343423065001594E-3</v>
      </c>
      <c r="V2">
        <f>SUM(B2,B3,B6,B8,B13,B22,B34,B39,B41,B43,B46,B47,B51,B58,B62,B63,B67,B70,B76,B80,B86,B91,B94,B95,B96,B100,B101,B104,B105,B106)/30</f>
        <v>88794.083333333314</v>
      </c>
      <c r="W2">
        <f>_xlfn.STDEV.P(B2,B3,B6,B8,B13,B22,B34,B39,B41,B43,B46,B47,B51,B58,B62,B63,B67,B70,B76,B80,B86,B91,B94,B95,B96,B100,B101,B104,B105,B106)</f>
        <v>30744.941522480145</v>
      </c>
      <c r="X2">
        <f>SUM(C2,C3,C6,C8,C13,C22,C34,C39,C41,C43,C46,C47,C51,C58,C62,C63,C67,C70,C76,C80,C86,C91,C94,C95,C96,C100,C101,C104,C105,C106)/30</f>
        <v>79699.046666666662</v>
      </c>
      <c r="Y2">
        <f>3/30</f>
        <v>0.1</v>
      </c>
      <c r="Z2">
        <f>19/30</f>
        <v>0.6333333333333333</v>
      </c>
      <c r="AA2">
        <v>12</v>
      </c>
    </row>
    <row r="3" spans="1:27" x14ac:dyDescent="0.25">
      <c r="A3" t="s">
        <v>20</v>
      </c>
      <c r="B3">
        <v>94100.5</v>
      </c>
      <c r="C3">
        <v>118261</v>
      </c>
      <c r="D3">
        <v>138143</v>
      </c>
      <c r="E3">
        <v>3</v>
      </c>
      <c r="F3">
        <v>40</v>
      </c>
      <c r="G3">
        <v>107</v>
      </c>
      <c r="H3">
        <v>6</v>
      </c>
      <c r="I3">
        <v>102</v>
      </c>
      <c r="J3">
        <v>102</v>
      </c>
      <c r="K3">
        <v>3</v>
      </c>
      <c r="L3">
        <v>25551.092453057499</v>
      </c>
      <c r="M3">
        <v>785.54843899999901</v>
      </c>
      <c r="N3">
        <v>25551.092453057499</v>
      </c>
      <c r="O3">
        <v>785.54843899999901</v>
      </c>
      <c r="P3">
        <v>2</v>
      </c>
      <c r="Q3">
        <v>0</v>
      </c>
      <c r="R3">
        <v>0</v>
      </c>
      <c r="S3">
        <v>0</v>
      </c>
    </row>
    <row r="4" spans="1:27" x14ac:dyDescent="0.25">
      <c r="A4" t="s">
        <v>20</v>
      </c>
      <c r="B4">
        <v>94100.5</v>
      </c>
      <c r="C4">
        <v>118261</v>
      </c>
      <c r="D4">
        <v>138143</v>
      </c>
      <c r="E4">
        <v>3</v>
      </c>
      <c r="F4">
        <v>40</v>
      </c>
      <c r="G4">
        <v>107</v>
      </c>
      <c r="H4">
        <v>6</v>
      </c>
      <c r="I4">
        <v>102</v>
      </c>
      <c r="J4">
        <v>130</v>
      </c>
      <c r="K4">
        <v>3</v>
      </c>
      <c r="L4">
        <v>25551.092453057499</v>
      </c>
      <c r="M4">
        <v>785.54843899999901</v>
      </c>
      <c r="N4">
        <v>25545.048750448601</v>
      </c>
      <c r="O4">
        <v>843.36379199999897</v>
      </c>
      <c r="P4">
        <v>1</v>
      </c>
      <c r="Q4" s="1">
        <v>2.27419617715995E-4</v>
      </c>
      <c r="R4">
        <v>5.6933933721132403E-2</v>
      </c>
      <c r="S4" s="1">
        <v>-2.27419617715995E-4</v>
      </c>
    </row>
    <row r="5" spans="1:27" x14ac:dyDescent="0.25">
      <c r="A5" t="s">
        <v>20</v>
      </c>
      <c r="B5">
        <v>94100.5</v>
      </c>
      <c r="C5">
        <v>118261</v>
      </c>
      <c r="D5">
        <v>138143</v>
      </c>
      <c r="E5">
        <v>3</v>
      </c>
      <c r="F5">
        <v>40</v>
      </c>
      <c r="G5">
        <v>107</v>
      </c>
      <c r="H5">
        <v>6</v>
      </c>
      <c r="I5">
        <v>102</v>
      </c>
      <c r="J5">
        <v>128</v>
      </c>
      <c r="K5">
        <v>3</v>
      </c>
      <c r="L5">
        <v>25551.092453057499</v>
      </c>
      <c r="M5">
        <v>785.54843899999901</v>
      </c>
      <c r="N5">
        <v>25507.148746109098</v>
      </c>
      <c r="O5">
        <v>855.54386199999897</v>
      </c>
      <c r="P5">
        <v>2</v>
      </c>
      <c r="Q5">
        <v>1.4261463635929499E-3</v>
      </c>
      <c r="R5">
        <v>1.19943797298747E-2</v>
      </c>
      <c r="S5">
        <v>5.5280367739823401E-2</v>
      </c>
    </row>
    <row r="6" spans="1:27" x14ac:dyDescent="0.25">
      <c r="A6" t="s">
        <v>21</v>
      </c>
      <c r="B6">
        <v>132220.1</v>
      </c>
      <c r="C6">
        <v>84662.1</v>
      </c>
      <c r="D6">
        <v>138143</v>
      </c>
      <c r="E6">
        <v>3</v>
      </c>
      <c r="F6">
        <v>40</v>
      </c>
      <c r="G6">
        <v>152</v>
      </c>
      <c r="H6">
        <v>4</v>
      </c>
      <c r="I6">
        <v>160</v>
      </c>
      <c r="J6">
        <v>186</v>
      </c>
      <c r="K6">
        <v>2</v>
      </c>
      <c r="L6">
        <v>23783.949294340498</v>
      </c>
      <c r="M6">
        <v>1453.3378680000001</v>
      </c>
      <c r="N6">
        <v>23779.326101291899</v>
      </c>
      <c r="O6">
        <v>1440.627244</v>
      </c>
      <c r="P6">
        <v>2</v>
      </c>
      <c r="Q6">
        <v>0</v>
      </c>
      <c r="R6">
        <v>0</v>
      </c>
      <c r="S6">
        <v>-8.4776870927717393E-3</v>
      </c>
    </row>
    <row r="7" spans="1:27" x14ac:dyDescent="0.25">
      <c r="A7" t="s">
        <v>21</v>
      </c>
      <c r="B7">
        <v>132220.1</v>
      </c>
      <c r="C7">
        <v>84662.1</v>
      </c>
      <c r="D7">
        <v>138143</v>
      </c>
      <c r="E7">
        <v>3</v>
      </c>
      <c r="F7">
        <v>40</v>
      </c>
      <c r="G7">
        <v>152</v>
      </c>
      <c r="H7">
        <v>4</v>
      </c>
      <c r="I7">
        <v>160</v>
      </c>
      <c r="J7">
        <v>184</v>
      </c>
      <c r="K7">
        <v>2</v>
      </c>
      <c r="L7">
        <v>23783.949294340498</v>
      </c>
      <c r="M7">
        <v>1453.3378680000001</v>
      </c>
      <c r="N7">
        <v>23720.4576561787</v>
      </c>
      <c r="O7">
        <v>1441.2776570000001</v>
      </c>
      <c r="P7">
        <v>2</v>
      </c>
      <c r="Q7">
        <v>2.1202526898899099E-3</v>
      </c>
      <c r="R7" s="1">
        <v>4.2528957974885502E-4</v>
      </c>
      <c r="S7">
        <v>-1.0597939782661599E-2</v>
      </c>
    </row>
    <row r="8" spans="1:27" x14ac:dyDescent="0.25">
      <c r="A8" t="s">
        <v>22</v>
      </c>
      <c r="B8">
        <v>53209.1</v>
      </c>
      <c r="C8">
        <v>96003</v>
      </c>
      <c r="D8">
        <v>138143</v>
      </c>
      <c r="E8">
        <v>3</v>
      </c>
      <c r="F8">
        <v>40</v>
      </c>
      <c r="G8">
        <v>80</v>
      </c>
      <c r="H8">
        <v>5</v>
      </c>
      <c r="I8">
        <v>80</v>
      </c>
      <c r="J8">
        <v>82</v>
      </c>
      <c r="K8">
        <v>5</v>
      </c>
      <c r="L8">
        <v>17707.363554433901</v>
      </c>
      <c r="M8">
        <v>652.929258</v>
      </c>
      <c r="N8">
        <v>17635.9712958856</v>
      </c>
      <c r="O8">
        <v>651.25365299999999</v>
      </c>
      <c r="P8">
        <v>1</v>
      </c>
      <c r="Q8">
        <v>0</v>
      </c>
      <c r="R8">
        <v>0</v>
      </c>
      <c r="S8">
        <v>-4.3390958095223999E-3</v>
      </c>
    </row>
    <row r="9" spans="1:27" x14ac:dyDescent="0.25">
      <c r="A9" t="s">
        <v>22</v>
      </c>
      <c r="B9">
        <v>53209.1</v>
      </c>
      <c r="C9">
        <v>96003</v>
      </c>
      <c r="D9">
        <v>138143</v>
      </c>
      <c r="E9">
        <v>3</v>
      </c>
      <c r="F9">
        <v>40</v>
      </c>
      <c r="G9">
        <v>80</v>
      </c>
      <c r="H9">
        <v>5</v>
      </c>
      <c r="I9">
        <v>80</v>
      </c>
      <c r="J9">
        <v>82</v>
      </c>
      <c r="K9">
        <v>5</v>
      </c>
      <c r="L9">
        <v>17707.363554433901</v>
      </c>
      <c r="M9">
        <v>652.929258</v>
      </c>
      <c r="N9">
        <v>17633.8613307015</v>
      </c>
      <c r="O9">
        <v>662.17444599999999</v>
      </c>
      <c r="P9">
        <v>1</v>
      </c>
      <c r="Q9" s="1">
        <v>7.8622436148867395E-5</v>
      </c>
      <c r="R9">
        <v>1.0941919965442999E-2</v>
      </c>
      <c r="S9">
        <v>-4.41771824567127E-3</v>
      </c>
    </row>
    <row r="10" spans="1:27" x14ac:dyDescent="0.25">
      <c r="A10" t="s">
        <v>22</v>
      </c>
      <c r="B10">
        <v>53209.1</v>
      </c>
      <c r="C10">
        <v>96003</v>
      </c>
      <c r="D10">
        <v>138143</v>
      </c>
      <c r="E10">
        <v>3</v>
      </c>
      <c r="F10">
        <v>40</v>
      </c>
      <c r="G10">
        <v>80</v>
      </c>
      <c r="H10">
        <v>5</v>
      </c>
      <c r="I10">
        <v>80</v>
      </c>
      <c r="J10">
        <v>80</v>
      </c>
      <c r="K10">
        <v>5</v>
      </c>
      <c r="L10">
        <v>17707.363554433901</v>
      </c>
      <c r="M10">
        <v>652.929258</v>
      </c>
      <c r="N10">
        <v>17553.269427884799</v>
      </c>
      <c r="O10">
        <v>663.71713199999999</v>
      </c>
      <c r="P10">
        <v>1</v>
      </c>
      <c r="Q10">
        <v>3.0030503730636899E-3</v>
      </c>
      <c r="R10">
        <v>1.54567042373299E-3</v>
      </c>
      <c r="S10">
        <v>3.52115134670805E-3</v>
      </c>
    </row>
    <row r="11" spans="1:27" x14ac:dyDescent="0.25">
      <c r="A11" t="s">
        <v>22</v>
      </c>
      <c r="B11">
        <v>53209.1</v>
      </c>
      <c r="C11">
        <v>96003</v>
      </c>
      <c r="D11">
        <v>138143</v>
      </c>
      <c r="E11">
        <v>3</v>
      </c>
      <c r="F11">
        <v>40</v>
      </c>
      <c r="G11">
        <v>80</v>
      </c>
      <c r="H11">
        <v>5</v>
      </c>
      <c r="I11">
        <v>80</v>
      </c>
      <c r="J11">
        <v>92</v>
      </c>
      <c r="K11">
        <v>5</v>
      </c>
      <c r="L11">
        <v>17707.363554433901</v>
      </c>
      <c r="M11">
        <v>652.929258</v>
      </c>
      <c r="N11">
        <v>17401.261433246302</v>
      </c>
      <c r="O11">
        <v>702.24754600000006</v>
      </c>
      <c r="P11">
        <v>1</v>
      </c>
      <c r="Q11">
        <v>5.6641877043884696E-3</v>
      </c>
      <c r="R11">
        <v>3.8604953525205203E-2</v>
      </c>
      <c r="S11" s="1">
        <v>-5.97365933947435E-4</v>
      </c>
    </row>
    <row r="12" spans="1:27" x14ac:dyDescent="0.25">
      <c r="A12" t="s">
        <v>22</v>
      </c>
      <c r="B12">
        <v>53209.1</v>
      </c>
      <c r="C12">
        <v>96003</v>
      </c>
      <c r="D12">
        <v>138143</v>
      </c>
      <c r="E12">
        <v>3</v>
      </c>
      <c r="F12">
        <v>40</v>
      </c>
      <c r="G12">
        <v>80</v>
      </c>
      <c r="H12">
        <v>5</v>
      </c>
      <c r="I12">
        <v>80</v>
      </c>
      <c r="J12">
        <v>92</v>
      </c>
      <c r="K12">
        <v>5</v>
      </c>
      <c r="L12">
        <v>17707.363554433901</v>
      </c>
      <c r="M12">
        <v>652.929258</v>
      </c>
      <c r="N12">
        <v>16977.516411692399</v>
      </c>
      <c r="O12">
        <v>724.86060799999996</v>
      </c>
      <c r="P12">
        <v>1</v>
      </c>
      <c r="Q12">
        <v>1.57897704432538E-2</v>
      </c>
      <c r="R12">
        <v>2.26568084000494E-2</v>
      </c>
      <c r="S12">
        <v>2.2217817148003902E-2</v>
      </c>
    </row>
    <row r="13" spans="1:27" x14ac:dyDescent="0.25">
      <c r="A13" t="s">
        <v>23</v>
      </c>
      <c r="B13">
        <v>64374.6</v>
      </c>
      <c r="C13">
        <v>121146.9</v>
      </c>
      <c r="D13">
        <v>138143</v>
      </c>
      <c r="E13">
        <v>3</v>
      </c>
      <c r="F13">
        <v>40</v>
      </c>
      <c r="G13">
        <v>114</v>
      </c>
      <c r="H13">
        <v>7</v>
      </c>
      <c r="I13">
        <v>124</v>
      </c>
      <c r="J13">
        <v>128</v>
      </c>
      <c r="K13">
        <v>9</v>
      </c>
      <c r="L13">
        <v>5733.2366888025399</v>
      </c>
      <c r="M13">
        <v>523.83640700000001</v>
      </c>
      <c r="N13">
        <v>5217.7837410190104</v>
      </c>
      <c r="O13">
        <v>509.533254</v>
      </c>
      <c r="P13">
        <v>1</v>
      </c>
      <c r="Q13">
        <v>0</v>
      </c>
      <c r="R13">
        <v>0</v>
      </c>
      <c r="S13">
        <v>-3.1416594657362698E-2</v>
      </c>
    </row>
    <row r="14" spans="1:27" x14ac:dyDescent="0.25">
      <c r="A14" t="s">
        <v>23</v>
      </c>
      <c r="B14">
        <v>64374.6</v>
      </c>
      <c r="C14">
        <v>121146.9</v>
      </c>
      <c r="D14">
        <v>138143</v>
      </c>
      <c r="E14">
        <v>3</v>
      </c>
      <c r="F14">
        <v>40</v>
      </c>
      <c r="G14">
        <v>114</v>
      </c>
      <c r="H14">
        <v>7</v>
      </c>
      <c r="I14">
        <v>124</v>
      </c>
      <c r="J14">
        <v>134</v>
      </c>
      <c r="K14">
        <v>9</v>
      </c>
      <c r="L14">
        <v>5733.2366888025399</v>
      </c>
      <c r="M14">
        <v>523.83640700000001</v>
      </c>
      <c r="N14">
        <v>5208.0488511171297</v>
      </c>
      <c r="O14">
        <v>525.059755</v>
      </c>
      <c r="P14">
        <v>1</v>
      </c>
      <c r="Q14" s="1">
        <v>3.60743629170406E-4</v>
      </c>
      <c r="R14">
        <v>1.33689206777699E-2</v>
      </c>
      <c r="S14">
        <v>-3.1777338286533098E-2</v>
      </c>
    </row>
    <row r="15" spans="1:27" x14ac:dyDescent="0.25">
      <c r="A15" t="s">
        <v>23</v>
      </c>
      <c r="B15">
        <v>64374.6</v>
      </c>
      <c r="C15">
        <v>121146.9</v>
      </c>
      <c r="D15">
        <v>138143</v>
      </c>
      <c r="E15">
        <v>3</v>
      </c>
      <c r="F15">
        <v>40</v>
      </c>
      <c r="G15">
        <v>114</v>
      </c>
      <c r="H15">
        <v>7</v>
      </c>
      <c r="I15">
        <v>124</v>
      </c>
      <c r="J15">
        <v>140</v>
      </c>
      <c r="K15">
        <v>9</v>
      </c>
      <c r="L15">
        <v>5733.2366888025399</v>
      </c>
      <c r="M15">
        <v>523.83640700000001</v>
      </c>
      <c r="N15">
        <v>5186.4161350838403</v>
      </c>
      <c r="O15">
        <v>539.05008499999997</v>
      </c>
      <c r="P15">
        <v>1</v>
      </c>
      <c r="Q15" s="1">
        <v>8.01638700522189E-4</v>
      </c>
      <c r="R15">
        <v>1.2046217755425E-2</v>
      </c>
      <c r="S15">
        <v>-1.9210056309285399E-2</v>
      </c>
    </row>
    <row r="16" spans="1:27" x14ac:dyDescent="0.25">
      <c r="A16" t="s">
        <v>23</v>
      </c>
      <c r="B16">
        <v>64374.6</v>
      </c>
      <c r="C16">
        <v>121146.9</v>
      </c>
      <c r="D16">
        <v>138143</v>
      </c>
      <c r="E16">
        <v>3</v>
      </c>
      <c r="F16">
        <v>40</v>
      </c>
      <c r="G16">
        <v>114</v>
      </c>
      <c r="H16">
        <v>7</v>
      </c>
      <c r="I16">
        <v>124</v>
      </c>
      <c r="J16">
        <v>144</v>
      </c>
      <c r="K16">
        <v>9</v>
      </c>
      <c r="L16">
        <v>5733.2366888025399</v>
      </c>
      <c r="M16">
        <v>523.83640700000001</v>
      </c>
      <c r="N16">
        <v>5047.5418229860097</v>
      </c>
      <c r="O16">
        <v>547.43750399999999</v>
      </c>
      <c r="P16">
        <v>1</v>
      </c>
      <c r="Q16">
        <v>5.1462341998423904E-3</v>
      </c>
      <c r="R16">
        <v>7.2218936708419697E-3</v>
      </c>
      <c r="S16">
        <v>-1.2310072753702699E-2</v>
      </c>
    </row>
    <row r="17" spans="1:19" x14ac:dyDescent="0.25">
      <c r="A17" t="s">
        <v>23</v>
      </c>
      <c r="B17">
        <v>64374.6</v>
      </c>
      <c r="C17">
        <v>121146.9</v>
      </c>
      <c r="D17">
        <v>138143</v>
      </c>
      <c r="E17">
        <v>3</v>
      </c>
      <c r="F17">
        <v>40</v>
      </c>
      <c r="G17">
        <v>114</v>
      </c>
      <c r="H17">
        <v>7</v>
      </c>
      <c r="I17">
        <v>124</v>
      </c>
      <c r="J17">
        <v>144</v>
      </c>
      <c r="K17">
        <v>9</v>
      </c>
      <c r="L17">
        <v>5733.2366888025399</v>
      </c>
      <c r="M17">
        <v>523.83640700000001</v>
      </c>
      <c r="N17">
        <v>5043.8267416693498</v>
      </c>
      <c r="O17">
        <v>549.46656199999995</v>
      </c>
      <c r="P17">
        <v>1</v>
      </c>
      <c r="Q17" s="1">
        <v>1.3766893414746099E-4</v>
      </c>
      <c r="R17">
        <v>1.7470977815667299E-3</v>
      </c>
      <c r="S17">
        <v>-5.2258480170082602E-3</v>
      </c>
    </row>
    <row r="18" spans="1:19" x14ac:dyDescent="0.25">
      <c r="A18" t="s">
        <v>23</v>
      </c>
      <c r="B18">
        <v>64374.6</v>
      </c>
      <c r="C18">
        <v>121146.9</v>
      </c>
      <c r="D18">
        <v>138143</v>
      </c>
      <c r="E18">
        <v>3</v>
      </c>
      <c r="F18">
        <v>40</v>
      </c>
      <c r="G18">
        <v>114</v>
      </c>
      <c r="H18">
        <v>7</v>
      </c>
      <c r="I18">
        <v>124</v>
      </c>
      <c r="J18">
        <v>138</v>
      </c>
      <c r="K18">
        <v>9</v>
      </c>
      <c r="L18">
        <v>5733.2366888025399</v>
      </c>
      <c r="M18">
        <v>523.83640700000001</v>
      </c>
      <c r="N18">
        <v>5035.7759792328898</v>
      </c>
      <c r="O18">
        <v>557.41775700000005</v>
      </c>
      <c r="P18">
        <v>1</v>
      </c>
      <c r="Q18" s="1">
        <v>2.9833529584757902E-4</v>
      </c>
      <c r="R18">
        <v>6.8462878563872401E-3</v>
      </c>
      <c r="S18">
        <v>-3.7770855312890999E-3</v>
      </c>
    </row>
    <row r="19" spans="1:19" x14ac:dyDescent="0.25">
      <c r="A19" t="s">
        <v>23</v>
      </c>
      <c r="B19">
        <v>64374.6</v>
      </c>
      <c r="C19">
        <v>121146.9</v>
      </c>
      <c r="D19">
        <v>138143</v>
      </c>
      <c r="E19">
        <v>3</v>
      </c>
      <c r="F19">
        <v>40</v>
      </c>
      <c r="G19">
        <v>114</v>
      </c>
      <c r="H19">
        <v>7</v>
      </c>
      <c r="I19">
        <v>124</v>
      </c>
      <c r="J19">
        <v>142</v>
      </c>
      <c r="K19">
        <v>9</v>
      </c>
      <c r="L19">
        <v>5733.2366888025399</v>
      </c>
      <c r="M19">
        <v>523.83640700000001</v>
      </c>
      <c r="N19">
        <v>5027.6892223252798</v>
      </c>
      <c r="O19">
        <v>558.32923500000004</v>
      </c>
      <c r="P19">
        <v>1</v>
      </c>
      <c r="Q19" s="1">
        <v>2.9966913488221799E-4</v>
      </c>
      <c r="R19" s="1">
        <v>7.8481797550722301E-4</v>
      </c>
      <c r="S19">
        <v>2.7695331902159101E-3</v>
      </c>
    </row>
    <row r="20" spans="1:19" x14ac:dyDescent="0.25">
      <c r="A20" t="s">
        <v>23</v>
      </c>
      <c r="B20">
        <v>64374.6</v>
      </c>
      <c r="C20">
        <v>121146.9</v>
      </c>
      <c r="D20">
        <v>138143</v>
      </c>
      <c r="E20">
        <v>3</v>
      </c>
      <c r="F20">
        <v>40</v>
      </c>
      <c r="G20">
        <v>114</v>
      </c>
      <c r="H20">
        <v>7</v>
      </c>
      <c r="I20">
        <v>124</v>
      </c>
      <c r="J20">
        <v>142</v>
      </c>
      <c r="K20">
        <v>9</v>
      </c>
      <c r="L20">
        <v>5733.2366888025399</v>
      </c>
      <c r="M20">
        <v>523.83640700000001</v>
      </c>
      <c r="N20">
        <v>5017.8425057698796</v>
      </c>
      <c r="O20">
        <v>565.65218600000003</v>
      </c>
      <c r="P20">
        <v>2</v>
      </c>
      <c r="Q20" s="1">
        <v>3.6488756436026099E-4</v>
      </c>
      <c r="R20">
        <v>6.3053453605674201E-3</v>
      </c>
      <c r="S20">
        <v>3.1894636013628701E-3</v>
      </c>
    </row>
    <row r="21" spans="1:19" x14ac:dyDescent="0.25">
      <c r="A21" t="s">
        <v>23</v>
      </c>
      <c r="B21">
        <v>64374.6</v>
      </c>
      <c r="C21">
        <v>121146.9</v>
      </c>
      <c r="D21">
        <v>138143</v>
      </c>
      <c r="E21">
        <v>3</v>
      </c>
      <c r="F21">
        <v>40</v>
      </c>
      <c r="G21">
        <v>114</v>
      </c>
      <c r="H21">
        <v>7</v>
      </c>
      <c r="I21">
        <v>124</v>
      </c>
      <c r="J21">
        <v>132</v>
      </c>
      <c r="K21">
        <v>9</v>
      </c>
      <c r="L21">
        <v>5733.2366888025399</v>
      </c>
      <c r="M21">
        <v>523.83640700000001</v>
      </c>
      <c r="N21">
        <v>5009.6755693888399</v>
      </c>
      <c r="O21">
        <v>577.67466899999999</v>
      </c>
      <c r="P21">
        <v>1</v>
      </c>
      <c r="Q21" s="1">
        <v>3.0264032762539103E-4</v>
      </c>
      <c r="R21">
        <v>1.0351825023347999E-2</v>
      </c>
      <c r="S21">
        <v>9.1921686343049095E-3</v>
      </c>
    </row>
    <row r="22" spans="1:19" x14ac:dyDescent="0.25">
      <c r="A22" t="s">
        <v>24</v>
      </c>
      <c r="B22">
        <v>67966.899999999994</v>
      </c>
      <c r="C22">
        <v>121719.2</v>
      </c>
      <c r="D22">
        <v>138143</v>
      </c>
      <c r="E22">
        <v>3</v>
      </c>
      <c r="F22">
        <v>40</v>
      </c>
      <c r="G22">
        <v>96</v>
      </c>
      <c r="H22">
        <v>3</v>
      </c>
      <c r="I22">
        <v>104</v>
      </c>
      <c r="J22">
        <v>102</v>
      </c>
      <c r="K22">
        <v>12</v>
      </c>
      <c r="L22">
        <v>11435.476691619</v>
      </c>
      <c r="M22">
        <v>871.51374299999895</v>
      </c>
      <c r="N22">
        <v>11097.4264719355</v>
      </c>
      <c r="O22">
        <v>870.670650999999</v>
      </c>
      <c r="P22">
        <v>1</v>
      </c>
      <c r="Q22">
        <v>0</v>
      </c>
      <c r="R22">
        <v>0</v>
      </c>
      <c r="S22">
        <v>-1.3087992976337601E-2</v>
      </c>
    </row>
    <row r="23" spans="1:19" x14ac:dyDescent="0.25">
      <c r="A23" t="s">
        <v>24</v>
      </c>
      <c r="B23">
        <v>67966.899999999994</v>
      </c>
      <c r="C23">
        <v>121719.2</v>
      </c>
      <c r="D23">
        <v>138143</v>
      </c>
      <c r="E23">
        <v>3</v>
      </c>
      <c r="F23">
        <v>40</v>
      </c>
      <c r="G23">
        <v>96</v>
      </c>
      <c r="H23">
        <v>3</v>
      </c>
      <c r="I23">
        <v>104</v>
      </c>
      <c r="J23">
        <v>118</v>
      </c>
      <c r="K23">
        <v>12</v>
      </c>
      <c r="L23">
        <v>11435.476691619</v>
      </c>
      <c r="M23">
        <v>871.51374299999895</v>
      </c>
      <c r="N23">
        <v>10697.7503949531</v>
      </c>
      <c r="O23">
        <v>909.10459799999899</v>
      </c>
      <c r="P23">
        <v>1</v>
      </c>
      <c r="Q23">
        <v>1.44349264827378E-2</v>
      </c>
      <c r="R23">
        <v>4.00608837048506E-2</v>
      </c>
      <c r="S23">
        <v>-2.7522919459075399E-2</v>
      </c>
    </row>
    <row r="24" spans="1:19" x14ac:dyDescent="0.25">
      <c r="A24" t="s">
        <v>24</v>
      </c>
      <c r="B24">
        <v>67966.899999999994</v>
      </c>
      <c r="C24">
        <v>121719.2</v>
      </c>
      <c r="D24">
        <v>138143</v>
      </c>
      <c r="E24">
        <v>3</v>
      </c>
      <c r="F24">
        <v>40</v>
      </c>
      <c r="G24">
        <v>96</v>
      </c>
      <c r="H24">
        <v>3</v>
      </c>
      <c r="I24">
        <v>104</v>
      </c>
      <c r="J24">
        <v>112</v>
      </c>
      <c r="K24">
        <v>12</v>
      </c>
      <c r="L24">
        <v>11435.476691619</v>
      </c>
      <c r="M24">
        <v>871.51374299999895</v>
      </c>
      <c r="N24">
        <v>10455.7496674548</v>
      </c>
      <c r="O24">
        <v>920.960408999999</v>
      </c>
      <c r="P24">
        <v>1</v>
      </c>
      <c r="Q24">
        <v>8.7402346834998205E-3</v>
      </c>
      <c r="R24">
        <v>1.23576760330571E-2</v>
      </c>
      <c r="S24">
        <v>3.7977295622752998E-3</v>
      </c>
    </row>
    <row r="25" spans="1:19" x14ac:dyDescent="0.25">
      <c r="A25" t="s">
        <v>24</v>
      </c>
      <c r="B25">
        <v>67966.899999999994</v>
      </c>
      <c r="C25">
        <v>121719.2</v>
      </c>
      <c r="D25">
        <v>138143</v>
      </c>
      <c r="E25">
        <v>3</v>
      </c>
      <c r="F25">
        <v>40</v>
      </c>
      <c r="G25">
        <v>96</v>
      </c>
      <c r="H25">
        <v>3</v>
      </c>
      <c r="I25">
        <v>104</v>
      </c>
      <c r="J25">
        <v>116</v>
      </c>
      <c r="K25">
        <v>12</v>
      </c>
      <c r="L25">
        <v>11435.476691619</v>
      </c>
      <c r="M25">
        <v>871.51374299999895</v>
      </c>
      <c r="N25">
        <v>10415.5932022017</v>
      </c>
      <c r="O25">
        <v>927.53516999999897</v>
      </c>
      <c r="P25">
        <v>1</v>
      </c>
      <c r="Q25">
        <v>1.45031353418012E-3</v>
      </c>
      <c r="R25">
        <v>6.8530753765202396E-3</v>
      </c>
      <c r="S25">
        <v>1.47050920611523E-2</v>
      </c>
    </row>
    <row r="26" spans="1:19" x14ac:dyDescent="0.25">
      <c r="A26" t="s">
        <v>24</v>
      </c>
      <c r="B26">
        <v>67966.899999999994</v>
      </c>
      <c r="C26">
        <v>121719.2</v>
      </c>
      <c r="D26">
        <v>138143</v>
      </c>
      <c r="E26">
        <v>3</v>
      </c>
      <c r="F26">
        <v>40</v>
      </c>
      <c r="G26">
        <v>96</v>
      </c>
      <c r="H26">
        <v>3</v>
      </c>
      <c r="I26">
        <v>104</v>
      </c>
      <c r="J26">
        <v>122</v>
      </c>
      <c r="K26">
        <v>12</v>
      </c>
      <c r="L26">
        <v>11435.476691619</v>
      </c>
      <c r="M26">
        <v>871.51374299999895</v>
      </c>
      <c r="N26">
        <v>10199.041979110099</v>
      </c>
      <c r="O26">
        <v>931.81825900000001</v>
      </c>
      <c r="P26">
        <v>1</v>
      </c>
      <c r="Q26">
        <v>7.8210860371602502E-3</v>
      </c>
      <c r="R26">
        <v>4.4643952474235898E-3</v>
      </c>
      <c r="S26">
        <v>1.37370814005123E-2</v>
      </c>
    </row>
    <row r="27" spans="1:19" x14ac:dyDescent="0.25">
      <c r="A27" t="s">
        <v>24</v>
      </c>
      <c r="B27">
        <v>67966.899999999994</v>
      </c>
      <c r="C27">
        <v>121719.2</v>
      </c>
      <c r="D27">
        <v>138143</v>
      </c>
      <c r="E27">
        <v>3</v>
      </c>
      <c r="F27">
        <v>40</v>
      </c>
      <c r="G27">
        <v>96</v>
      </c>
      <c r="H27">
        <v>3</v>
      </c>
      <c r="I27">
        <v>104</v>
      </c>
      <c r="J27">
        <v>124</v>
      </c>
      <c r="K27">
        <v>12</v>
      </c>
      <c r="L27">
        <v>11435.476691619</v>
      </c>
      <c r="M27">
        <v>871.51374299999895</v>
      </c>
      <c r="N27">
        <v>10187.470524464799</v>
      </c>
      <c r="O27">
        <v>932.77266299999997</v>
      </c>
      <c r="P27">
        <v>1</v>
      </c>
      <c r="Q27" s="1">
        <v>4.1792117847966299E-4</v>
      </c>
      <c r="R27" s="1">
        <v>9.9480460987910703E-4</v>
      </c>
      <c r="S27">
        <v>1.7783555469456199E-2</v>
      </c>
    </row>
    <row r="28" spans="1:19" x14ac:dyDescent="0.25">
      <c r="A28" t="s">
        <v>24</v>
      </c>
      <c r="B28">
        <v>67966.899999999994</v>
      </c>
      <c r="C28">
        <v>121719.2</v>
      </c>
      <c r="D28">
        <v>138143</v>
      </c>
      <c r="E28">
        <v>3</v>
      </c>
      <c r="F28">
        <v>40</v>
      </c>
      <c r="G28">
        <v>96</v>
      </c>
      <c r="H28">
        <v>3</v>
      </c>
      <c r="I28">
        <v>104</v>
      </c>
      <c r="J28">
        <v>124</v>
      </c>
      <c r="K28">
        <v>12</v>
      </c>
      <c r="L28">
        <v>11435.476691619</v>
      </c>
      <c r="M28">
        <v>871.51374299999895</v>
      </c>
      <c r="N28">
        <v>10141.1892231276</v>
      </c>
      <c r="O28">
        <v>940.75470699999903</v>
      </c>
      <c r="P28">
        <v>2</v>
      </c>
      <c r="Q28">
        <v>1.67152156659539E-3</v>
      </c>
      <c r="R28">
        <v>8.3199296812006499E-3</v>
      </c>
      <c r="S28">
        <v>1.7106838512739898E-2</v>
      </c>
    </row>
    <row r="29" spans="1:19" x14ac:dyDescent="0.25">
      <c r="A29" t="s">
        <v>24</v>
      </c>
      <c r="B29">
        <v>67966.899999999994</v>
      </c>
      <c r="C29">
        <v>121719.2</v>
      </c>
      <c r="D29">
        <v>138143</v>
      </c>
      <c r="E29">
        <v>3</v>
      </c>
      <c r="F29">
        <v>40</v>
      </c>
      <c r="G29">
        <v>96</v>
      </c>
      <c r="H29">
        <v>3</v>
      </c>
      <c r="I29">
        <v>104</v>
      </c>
      <c r="J29">
        <v>128</v>
      </c>
      <c r="K29">
        <v>12</v>
      </c>
      <c r="L29">
        <v>11435.476691619</v>
      </c>
      <c r="M29">
        <v>871.51374299999895</v>
      </c>
      <c r="N29">
        <v>10135.631154279499</v>
      </c>
      <c r="O29">
        <v>942.44599499999902</v>
      </c>
      <c r="P29">
        <v>2</v>
      </c>
      <c r="Q29" s="1">
        <v>2.0073834744982401E-4</v>
      </c>
      <c r="R29">
        <v>1.7628814412271501E-3</v>
      </c>
      <c r="S29">
        <v>2.5226029846490802E-2</v>
      </c>
    </row>
    <row r="30" spans="1:19" x14ac:dyDescent="0.25">
      <c r="A30" t="s">
        <v>24</v>
      </c>
      <c r="B30">
        <v>67966.899999999994</v>
      </c>
      <c r="C30">
        <v>121719.2</v>
      </c>
      <c r="D30">
        <v>138143</v>
      </c>
      <c r="E30">
        <v>3</v>
      </c>
      <c r="F30">
        <v>40</v>
      </c>
      <c r="G30">
        <v>96</v>
      </c>
      <c r="H30">
        <v>3</v>
      </c>
      <c r="I30">
        <v>104</v>
      </c>
      <c r="J30">
        <v>120</v>
      </c>
      <c r="K30">
        <v>12</v>
      </c>
      <c r="L30">
        <v>11435.476691619</v>
      </c>
      <c r="M30">
        <v>871.51374299999895</v>
      </c>
      <c r="N30">
        <v>10133.3365325867</v>
      </c>
      <c r="O30">
        <v>942.58268799999996</v>
      </c>
      <c r="P30">
        <v>1</v>
      </c>
      <c r="Q30" s="1">
        <v>8.2873850471731902E-5</v>
      </c>
      <c r="R30" s="1">
        <v>1.4247931330779701E-4</v>
      </c>
      <c r="S30">
        <v>2.6906037437246198E-2</v>
      </c>
    </row>
    <row r="31" spans="1:19" x14ac:dyDescent="0.25">
      <c r="A31" t="s">
        <v>24</v>
      </c>
      <c r="B31">
        <v>67966.899999999994</v>
      </c>
      <c r="C31">
        <v>121719.2</v>
      </c>
      <c r="D31">
        <v>138143</v>
      </c>
      <c r="E31">
        <v>3</v>
      </c>
      <c r="F31">
        <v>40</v>
      </c>
      <c r="G31">
        <v>96</v>
      </c>
      <c r="H31">
        <v>3</v>
      </c>
      <c r="I31">
        <v>104</v>
      </c>
      <c r="J31">
        <v>124</v>
      </c>
      <c r="K31">
        <v>12</v>
      </c>
      <c r="L31">
        <v>11435.476691619</v>
      </c>
      <c r="M31">
        <v>871.51374299999895</v>
      </c>
      <c r="N31">
        <v>9771.5024643649995</v>
      </c>
      <c r="O31">
        <v>947.629987999999</v>
      </c>
      <c r="P31">
        <v>1</v>
      </c>
      <c r="Q31">
        <v>1.30682031638351E-2</v>
      </c>
      <c r="R31">
        <v>5.2609558503967603E-3</v>
      </c>
      <c r="S31">
        <v>1.39803135867189E-2</v>
      </c>
    </row>
    <row r="32" spans="1:19" x14ac:dyDescent="0.25">
      <c r="A32" t="s">
        <v>24</v>
      </c>
      <c r="B32">
        <v>67966.899999999994</v>
      </c>
      <c r="C32">
        <v>121719.2</v>
      </c>
      <c r="D32">
        <v>138143</v>
      </c>
      <c r="E32">
        <v>3</v>
      </c>
      <c r="F32">
        <v>40</v>
      </c>
      <c r="G32">
        <v>96</v>
      </c>
      <c r="H32">
        <v>3</v>
      </c>
      <c r="I32">
        <v>104</v>
      </c>
      <c r="J32">
        <v>128</v>
      </c>
      <c r="K32">
        <v>12</v>
      </c>
      <c r="L32">
        <v>11435.476691619</v>
      </c>
      <c r="M32">
        <v>871.51374299999895</v>
      </c>
      <c r="N32">
        <v>9769.8131218996095</v>
      </c>
      <c r="O32">
        <v>949.30408799999998</v>
      </c>
      <c r="P32">
        <v>1</v>
      </c>
      <c r="Q32" s="1">
        <v>6.1013244715968301E-5</v>
      </c>
      <c r="R32">
        <v>1.7449658607869799E-3</v>
      </c>
      <c r="S32">
        <v>1.91802561923997E-2</v>
      </c>
    </row>
    <row r="33" spans="1:19" x14ac:dyDescent="0.25">
      <c r="A33" t="s">
        <v>24</v>
      </c>
      <c r="B33">
        <v>67966.899999999994</v>
      </c>
      <c r="C33">
        <v>121719.2</v>
      </c>
      <c r="D33">
        <v>138143</v>
      </c>
      <c r="E33">
        <v>3</v>
      </c>
      <c r="F33">
        <v>40</v>
      </c>
      <c r="G33">
        <v>96</v>
      </c>
      <c r="H33">
        <v>3</v>
      </c>
      <c r="I33">
        <v>104</v>
      </c>
      <c r="J33">
        <v>120</v>
      </c>
      <c r="K33">
        <v>12</v>
      </c>
      <c r="L33">
        <v>11435.476691619</v>
      </c>
      <c r="M33">
        <v>871.51374299999895</v>
      </c>
      <c r="N33">
        <v>9768.2021906342798</v>
      </c>
      <c r="O33">
        <v>952.44194100000004</v>
      </c>
      <c r="P33">
        <v>1</v>
      </c>
      <c r="Q33" s="1">
        <v>5.8181301616277897E-5</v>
      </c>
      <c r="R33">
        <v>3.2706805813079698E-3</v>
      </c>
      <c r="S33">
        <v>2.08670407515704E-2</v>
      </c>
    </row>
    <row r="34" spans="1:19" x14ac:dyDescent="0.25">
      <c r="A34" t="s">
        <v>25</v>
      </c>
      <c r="B34">
        <v>136725.4</v>
      </c>
      <c r="C34">
        <v>94849.4</v>
      </c>
      <c r="D34">
        <v>138143</v>
      </c>
      <c r="E34">
        <v>3</v>
      </c>
      <c r="F34">
        <v>40</v>
      </c>
      <c r="G34">
        <v>173</v>
      </c>
      <c r="H34">
        <v>6</v>
      </c>
      <c r="I34">
        <v>186</v>
      </c>
      <c r="J34">
        <v>182</v>
      </c>
      <c r="K34">
        <v>5</v>
      </c>
      <c r="L34">
        <v>23369.984279200002</v>
      </c>
      <c r="M34">
        <v>1960.618052</v>
      </c>
      <c r="N34">
        <v>23369.984279200002</v>
      </c>
      <c r="O34">
        <v>1948.776077</v>
      </c>
      <c r="P34">
        <v>1</v>
      </c>
      <c r="Q34">
        <v>0</v>
      </c>
      <c r="R34">
        <v>0</v>
      </c>
      <c r="S34">
        <v>-6.6062499823469302E-3</v>
      </c>
    </row>
    <row r="35" spans="1:19" x14ac:dyDescent="0.25">
      <c r="A35" t="s">
        <v>25</v>
      </c>
      <c r="B35">
        <v>136725.4</v>
      </c>
      <c r="C35">
        <v>94849.4</v>
      </c>
      <c r="D35">
        <v>138143</v>
      </c>
      <c r="E35">
        <v>3</v>
      </c>
      <c r="F35">
        <v>40</v>
      </c>
      <c r="G35">
        <v>173</v>
      </c>
      <c r="H35">
        <v>6</v>
      </c>
      <c r="I35">
        <v>186</v>
      </c>
      <c r="J35">
        <v>198</v>
      </c>
      <c r="K35">
        <v>5</v>
      </c>
      <c r="L35">
        <v>23369.984279200002</v>
      </c>
      <c r="M35">
        <v>1960.618052</v>
      </c>
      <c r="N35">
        <v>23344.1439797364</v>
      </c>
      <c r="O35">
        <v>1983.6068769999999</v>
      </c>
      <c r="P35">
        <v>1</v>
      </c>
      <c r="Q35" s="1">
        <v>9.2684049155944404E-4</v>
      </c>
      <c r="R35">
        <v>1.9430962477553701E-2</v>
      </c>
      <c r="S35">
        <v>-7.53309047390637E-3</v>
      </c>
    </row>
    <row r="36" spans="1:19" x14ac:dyDescent="0.25">
      <c r="A36" t="s">
        <v>25</v>
      </c>
      <c r="B36">
        <v>136725.4</v>
      </c>
      <c r="C36">
        <v>94849.4</v>
      </c>
      <c r="D36">
        <v>138143</v>
      </c>
      <c r="E36">
        <v>3</v>
      </c>
      <c r="F36">
        <v>40</v>
      </c>
      <c r="G36">
        <v>173</v>
      </c>
      <c r="H36">
        <v>6</v>
      </c>
      <c r="I36">
        <v>186</v>
      </c>
      <c r="J36">
        <v>194</v>
      </c>
      <c r="K36">
        <v>5</v>
      </c>
      <c r="L36">
        <v>23369.984279200002</v>
      </c>
      <c r="M36">
        <v>1960.618052</v>
      </c>
      <c r="N36">
        <v>23284.0549490597</v>
      </c>
      <c r="O36">
        <v>1985.468689</v>
      </c>
      <c r="P36">
        <v>1</v>
      </c>
      <c r="Q36">
        <v>2.1552748182387298E-3</v>
      </c>
      <c r="R36">
        <v>1.0386439333081E-3</v>
      </c>
      <c r="S36">
        <v>9.7425971854085899E-3</v>
      </c>
    </row>
    <row r="37" spans="1:19" x14ac:dyDescent="0.25">
      <c r="A37" t="s">
        <v>25</v>
      </c>
      <c r="B37">
        <v>136725.4</v>
      </c>
      <c r="C37">
        <v>94849.4</v>
      </c>
      <c r="D37">
        <v>138143</v>
      </c>
      <c r="E37">
        <v>3</v>
      </c>
      <c r="F37">
        <v>40</v>
      </c>
      <c r="G37">
        <v>173</v>
      </c>
      <c r="H37">
        <v>6</v>
      </c>
      <c r="I37">
        <v>186</v>
      </c>
      <c r="J37">
        <v>212</v>
      </c>
      <c r="K37">
        <v>5</v>
      </c>
      <c r="L37">
        <v>23369.984279200002</v>
      </c>
      <c r="M37">
        <v>1960.618052</v>
      </c>
      <c r="N37">
        <v>23239.449516066401</v>
      </c>
      <c r="O37">
        <v>2015.6823420000001</v>
      </c>
      <c r="P37">
        <v>1</v>
      </c>
      <c r="Q37">
        <v>1.59990875879478E-3</v>
      </c>
      <c r="R37">
        <v>1.68552073955472E-2</v>
      </c>
      <c r="S37">
        <v>9.1813323599219104E-3</v>
      </c>
    </row>
    <row r="38" spans="1:19" x14ac:dyDescent="0.25">
      <c r="A38" t="s">
        <v>25</v>
      </c>
      <c r="B38">
        <v>136725.4</v>
      </c>
      <c r="C38">
        <v>94849.4</v>
      </c>
      <c r="D38">
        <v>138143</v>
      </c>
      <c r="E38">
        <v>3</v>
      </c>
      <c r="F38">
        <v>40</v>
      </c>
      <c r="G38">
        <v>173</v>
      </c>
      <c r="H38">
        <v>6</v>
      </c>
      <c r="I38">
        <v>186</v>
      </c>
      <c r="J38">
        <v>204</v>
      </c>
      <c r="K38">
        <v>5</v>
      </c>
      <c r="L38">
        <v>23369.984279200002</v>
      </c>
      <c r="M38">
        <v>1960.618052</v>
      </c>
      <c r="N38">
        <v>23042.036312102999</v>
      </c>
      <c r="O38">
        <v>2021.6180690000001</v>
      </c>
      <c r="P38">
        <v>1</v>
      </c>
      <c r="Q38">
        <v>7.0808216158324503E-3</v>
      </c>
      <c r="R38">
        <v>3.3113476754482699E-3</v>
      </c>
      <c r="S38">
        <v>1.8955718139636701E-2</v>
      </c>
    </row>
    <row r="39" spans="1:19" x14ac:dyDescent="0.25">
      <c r="A39" t="s">
        <v>26</v>
      </c>
      <c r="B39">
        <v>90952.8</v>
      </c>
      <c r="C39">
        <v>66104.100000000006</v>
      </c>
      <c r="D39">
        <v>138143</v>
      </c>
      <c r="E39">
        <v>3</v>
      </c>
      <c r="F39">
        <v>40</v>
      </c>
      <c r="G39">
        <v>115</v>
      </c>
      <c r="H39">
        <v>5</v>
      </c>
      <c r="I39">
        <v>120</v>
      </c>
      <c r="J39">
        <v>120</v>
      </c>
      <c r="K39">
        <v>2</v>
      </c>
      <c r="L39">
        <v>9811.6829513872908</v>
      </c>
      <c r="M39">
        <v>1036.771473</v>
      </c>
      <c r="N39">
        <v>9811.6829513872908</v>
      </c>
      <c r="O39">
        <v>1036.771473</v>
      </c>
      <c r="P39">
        <v>13</v>
      </c>
      <c r="Q39">
        <v>0</v>
      </c>
      <c r="R39">
        <v>0</v>
      </c>
      <c r="S39">
        <v>0</v>
      </c>
    </row>
    <row r="40" spans="1:19" x14ac:dyDescent="0.25">
      <c r="A40" t="s">
        <v>26</v>
      </c>
      <c r="B40">
        <v>90952.8</v>
      </c>
      <c r="C40">
        <v>66104.100000000006</v>
      </c>
      <c r="D40">
        <v>138143</v>
      </c>
      <c r="E40">
        <v>3</v>
      </c>
      <c r="F40">
        <v>40</v>
      </c>
      <c r="G40">
        <v>115</v>
      </c>
      <c r="H40">
        <v>5</v>
      </c>
      <c r="I40">
        <v>120</v>
      </c>
      <c r="J40">
        <v>140</v>
      </c>
      <c r="K40">
        <v>2</v>
      </c>
      <c r="L40">
        <v>9811.6829513872908</v>
      </c>
      <c r="M40">
        <v>1036.771473</v>
      </c>
      <c r="N40">
        <v>9552.9076072244607</v>
      </c>
      <c r="O40">
        <v>1042.554353</v>
      </c>
      <c r="P40">
        <v>1</v>
      </c>
      <c r="Q40">
        <v>9.4614212972930992E-3</v>
      </c>
      <c r="R40">
        <v>4.9706287164398202E-3</v>
      </c>
      <c r="S40">
        <v>-9.4614212972930992E-3</v>
      </c>
    </row>
    <row r="41" spans="1:19" x14ac:dyDescent="0.25">
      <c r="A41" t="s">
        <v>27</v>
      </c>
      <c r="B41">
        <v>95875.5</v>
      </c>
      <c r="C41">
        <v>52046.1</v>
      </c>
      <c r="D41">
        <v>138143</v>
      </c>
      <c r="E41">
        <v>3</v>
      </c>
      <c r="F41">
        <v>40</v>
      </c>
      <c r="G41">
        <v>105</v>
      </c>
      <c r="H41">
        <v>5</v>
      </c>
      <c r="I41">
        <v>106</v>
      </c>
      <c r="J41">
        <v>132</v>
      </c>
      <c r="K41">
        <v>2</v>
      </c>
      <c r="L41">
        <v>7788.6785449716499</v>
      </c>
      <c r="M41">
        <v>374.15429499999999</v>
      </c>
      <c r="N41">
        <v>5516.3271669242504</v>
      </c>
      <c r="O41">
        <v>336.96099099999998</v>
      </c>
      <c r="P41">
        <v>54</v>
      </c>
      <c r="Q41">
        <v>0</v>
      </c>
      <c r="R41">
        <v>0</v>
      </c>
      <c r="S41">
        <v>-0.120322557050926</v>
      </c>
    </row>
    <row r="42" spans="1:19" x14ac:dyDescent="0.25">
      <c r="A42" t="s">
        <v>27</v>
      </c>
      <c r="B42">
        <v>95875.5</v>
      </c>
      <c r="C42">
        <v>52046.1</v>
      </c>
      <c r="D42">
        <v>138143</v>
      </c>
      <c r="E42">
        <v>3</v>
      </c>
      <c r="F42">
        <v>40</v>
      </c>
      <c r="G42">
        <v>105</v>
      </c>
      <c r="H42">
        <v>5</v>
      </c>
      <c r="I42">
        <v>106</v>
      </c>
      <c r="J42">
        <v>128</v>
      </c>
      <c r="K42">
        <v>2</v>
      </c>
      <c r="L42">
        <v>7788.6785449716499</v>
      </c>
      <c r="M42">
        <v>374.15429499999999</v>
      </c>
      <c r="N42">
        <v>5439.3066832986297</v>
      </c>
      <c r="O42">
        <v>347.00172800000001</v>
      </c>
      <c r="P42">
        <v>252</v>
      </c>
      <c r="Q42">
        <v>2.85522517372138E-3</v>
      </c>
      <c r="R42">
        <v>9.7413368275208103E-3</v>
      </c>
      <c r="S42">
        <v>-0.123177782224647</v>
      </c>
    </row>
    <row r="43" spans="1:19" x14ac:dyDescent="0.25">
      <c r="A43" t="s">
        <v>28</v>
      </c>
      <c r="B43">
        <v>53473.3</v>
      </c>
      <c r="C43">
        <v>35148.300000000003</v>
      </c>
      <c r="D43">
        <v>138143</v>
      </c>
      <c r="E43">
        <v>3</v>
      </c>
      <c r="F43">
        <v>40</v>
      </c>
      <c r="G43">
        <v>89</v>
      </c>
      <c r="H43">
        <v>5</v>
      </c>
      <c r="I43">
        <v>88</v>
      </c>
      <c r="J43">
        <v>114</v>
      </c>
      <c r="K43">
        <v>3</v>
      </c>
      <c r="L43">
        <v>10676.722021399401</v>
      </c>
      <c r="M43">
        <v>275.30719399999998</v>
      </c>
      <c r="N43">
        <v>12194.008753091301</v>
      </c>
      <c r="O43">
        <v>263.25725699999998</v>
      </c>
      <c r="P43">
        <v>3</v>
      </c>
      <c r="Q43">
        <v>0</v>
      </c>
      <c r="R43">
        <v>0</v>
      </c>
      <c r="S43">
        <v>4.04591890001125E-2</v>
      </c>
    </row>
    <row r="44" spans="1:19" x14ac:dyDescent="0.25">
      <c r="A44" t="s">
        <v>28</v>
      </c>
      <c r="B44">
        <v>53473.3</v>
      </c>
      <c r="C44">
        <v>35148.300000000003</v>
      </c>
      <c r="D44">
        <v>138143</v>
      </c>
      <c r="E44">
        <v>3</v>
      </c>
      <c r="F44">
        <v>40</v>
      </c>
      <c r="G44">
        <v>89</v>
      </c>
      <c r="H44">
        <v>5</v>
      </c>
      <c r="I44">
        <v>88</v>
      </c>
      <c r="J44">
        <v>92</v>
      </c>
      <c r="K44">
        <v>3</v>
      </c>
      <c r="L44">
        <v>10676.722021399401</v>
      </c>
      <c r="M44">
        <v>275.30719399999998</v>
      </c>
      <c r="N44">
        <v>10676.722021399401</v>
      </c>
      <c r="O44">
        <v>267.01959900000003</v>
      </c>
      <c r="P44">
        <v>3</v>
      </c>
      <c r="Q44">
        <v>5.4404817492536499E-2</v>
      </c>
      <c r="R44">
        <v>4.3542322083047697E-3</v>
      </c>
      <c r="S44">
        <v>-1.39456284924239E-2</v>
      </c>
    </row>
    <row r="45" spans="1:19" x14ac:dyDescent="0.25">
      <c r="A45" t="s">
        <v>28</v>
      </c>
      <c r="B45">
        <v>53473.3</v>
      </c>
      <c r="C45">
        <v>35148.300000000003</v>
      </c>
      <c r="D45">
        <v>138143</v>
      </c>
      <c r="E45">
        <v>3</v>
      </c>
      <c r="F45">
        <v>40</v>
      </c>
      <c r="G45">
        <v>89</v>
      </c>
      <c r="H45">
        <v>5</v>
      </c>
      <c r="I45">
        <v>88</v>
      </c>
      <c r="J45">
        <v>106</v>
      </c>
      <c r="K45">
        <v>3</v>
      </c>
      <c r="L45">
        <v>10676.722021399401</v>
      </c>
      <c r="M45">
        <v>275.30719399999998</v>
      </c>
      <c r="N45">
        <v>10557.050153566999</v>
      </c>
      <c r="O45">
        <v>303.76746000000003</v>
      </c>
      <c r="P45">
        <v>2</v>
      </c>
      <c r="Q45">
        <v>4.2910321381099898E-3</v>
      </c>
      <c r="R45">
        <v>4.2529020475147103E-2</v>
      </c>
      <c r="S45">
        <v>-1.3882428422229099E-2</v>
      </c>
    </row>
    <row r="46" spans="1:19" x14ac:dyDescent="0.25">
      <c r="A46" t="s">
        <v>29</v>
      </c>
      <c r="B46">
        <v>89455.6</v>
      </c>
      <c r="C46">
        <v>78066.3</v>
      </c>
      <c r="D46">
        <v>138143</v>
      </c>
      <c r="E46">
        <v>3</v>
      </c>
      <c r="F46">
        <v>40</v>
      </c>
      <c r="G46">
        <v>143</v>
      </c>
      <c r="H46">
        <v>5</v>
      </c>
      <c r="I46">
        <v>164</v>
      </c>
      <c r="J46">
        <v>180</v>
      </c>
      <c r="K46">
        <v>1</v>
      </c>
      <c r="L46">
        <v>11397.554066623199</v>
      </c>
      <c r="M46">
        <v>811.92595099999903</v>
      </c>
      <c r="N46">
        <v>9931.6412451953202</v>
      </c>
      <c r="O46">
        <v>776.15733699999896</v>
      </c>
      <c r="P46">
        <v>4</v>
      </c>
      <c r="Q46">
        <v>0</v>
      </c>
      <c r="R46">
        <v>0</v>
      </c>
      <c r="S46">
        <v>-7.9365068790355806E-2</v>
      </c>
    </row>
    <row r="47" spans="1:19" x14ac:dyDescent="0.25">
      <c r="A47" t="s">
        <v>30</v>
      </c>
      <c r="B47">
        <v>64265.7</v>
      </c>
      <c r="C47">
        <v>90131.7</v>
      </c>
      <c r="D47">
        <v>138143</v>
      </c>
      <c r="E47">
        <v>3</v>
      </c>
      <c r="F47">
        <v>40</v>
      </c>
      <c r="G47">
        <v>110</v>
      </c>
      <c r="H47">
        <v>4</v>
      </c>
      <c r="I47">
        <v>116</v>
      </c>
      <c r="J47">
        <v>114</v>
      </c>
      <c r="K47">
        <v>4</v>
      </c>
      <c r="L47">
        <v>13677.8538096704</v>
      </c>
      <c r="M47">
        <v>871.18193499999995</v>
      </c>
      <c r="N47">
        <v>13677.8538096704</v>
      </c>
      <c r="O47">
        <v>871.11181599999998</v>
      </c>
      <c r="P47">
        <v>1</v>
      </c>
      <c r="Q47">
        <v>0</v>
      </c>
      <c r="R47">
        <v>0</v>
      </c>
      <c r="S47" s="1">
        <v>-5.8433563101312203E-5</v>
      </c>
    </row>
    <row r="48" spans="1:19" x14ac:dyDescent="0.25">
      <c r="A48" t="s">
        <v>30</v>
      </c>
      <c r="B48">
        <v>64265.7</v>
      </c>
      <c r="C48">
        <v>90131.7</v>
      </c>
      <c r="D48">
        <v>138143</v>
      </c>
      <c r="E48">
        <v>3</v>
      </c>
      <c r="F48">
        <v>40</v>
      </c>
      <c r="G48">
        <v>110</v>
      </c>
      <c r="H48">
        <v>4</v>
      </c>
      <c r="I48">
        <v>116</v>
      </c>
      <c r="J48">
        <v>128</v>
      </c>
      <c r="K48">
        <v>4</v>
      </c>
      <c r="L48">
        <v>13677.8538096704</v>
      </c>
      <c r="M48">
        <v>871.18193499999995</v>
      </c>
      <c r="N48">
        <v>13365.332458347801</v>
      </c>
      <c r="O48">
        <v>880.34491200000002</v>
      </c>
      <c r="P48">
        <v>1</v>
      </c>
      <c r="Q48">
        <v>1.1249850095867001E-2</v>
      </c>
      <c r="R48">
        <v>7.6943866532078698E-3</v>
      </c>
      <c r="S48">
        <v>-1.13082836589684E-2</v>
      </c>
    </row>
    <row r="49" spans="1:19" x14ac:dyDescent="0.25">
      <c r="A49" t="s">
        <v>30</v>
      </c>
      <c r="B49">
        <v>64265.7</v>
      </c>
      <c r="C49">
        <v>90131.7</v>
      </c>
      <c r="D49">
        <v>138143</v>
      </c>
      <c r="E49">
        <v>3</v>
      </c>
      <c r="F49">
        <v>40</v>
      </c>
      <c r="G49">
        <v>110</v>
      </c>
      <c r="H49">
        <v>4</v>
      </c>
      <c r="I49">
        <v>116</v>
      </c>
      <c r="J49">
        <v>132</v>
      </c>
      <c r="K49">
        <v>4</v>
      </c>
      <c r="L49">
        <v>13677.8538096704</v>
      </c>
      <c r="M49">
        <v>871.18193499999995</v>
      </c>
      <c r="N49">
        <v>13066.160200595799</v>
      </c>
      <c r="O49">
        <v>892.68612399999995</v>
      </c>
      <c r="P49">
        <v>1</v>
      </c>
      <c r="Q49">
        <v>1.0769321962510001E-2</v>
      </c>
      <c r="R49">
        <v>1.02845304432238E-2</v>
      </c>
      <c r="S49">
        <v>-1.43832189682705E-2</v>
      </c>
    </row>
    <row r="50" spans="1:19" x14ac:dyDescent="0.25">
      <c r="A50" t="s">
        <v>30</v>
      </c>
      <c r="B50">
        <v>64265.7</v>
      </c>
      <c r="C50">
        <v>90131.7</v>
      </c>
      <c r="D50">
        <v>138143</v>
      </c>
      <c r="E50">
        <v>3</v>
      </c>
      <c r="F50">
        <v>40</v>
      </c>
      <c r="G50">
        <v>110</v>
      </c>
      <c r="H50">
        <v>4</v>
      </c>
      <c r="I50">
        <v>116</v>
      </c>
      <c r="J50">
        <v>140</v>
      </c>
      <c r="K50">
        <v>4</v>
      </c>
      <c r="L50">
        <v>13677.8538096704</v>
      </c>
      <c r="M50">
        <v>871.18193499999995</v>
      </c>
      <c r="N50">
        <v>12733.1230208159</v>
      </c>
      <c r="O50">
        <v>919.82345099999998</v>
      </c>
      <c r="P50">
        <v>1</v>
      </c>
      <c r="Q50">
        <v>1.1988359620931401E-2</v>
      </c>
      <c r="R50">
        <v>2.2614850606181899E-2</v>
      </c>
      <c r="S50">
        <v>-1.6087048145978101E-2</v>
      </c>
    </row>
    <row r="51" spans="1:19" x14ac:dyDescent="0.25">
      <c r="A51" t="s">
        <v>31</v>
      </c>
      <c r="B51">
        <v>45953.4</v>
      </c>
      <c r="C51">
        <v>113397.3</v>
      </c>
      <c r="D51">
        <v>138143</v>
      </c>
      <c r="E51">
        <v>3</v>
      </c>
      <c r="F51">
        <v>40</v>
      </c>
      <c r="G51">
        <v>94</v>
      </c>
      <c r="H51">
        <v>4</v>
      </c>
      <c r="I51">
        <v>90</v>
      </c>
      <c r="J51">
        <v>86</v>
      </c>
      <c r="K51">
        <v>7</v>
      </c>
      <c r="L51">
        <v>21794.101670816501</v>
      </c>
      <c r="M51">
        <v>663.63999599999897</v>
      </c>
      <c r="N51">
        <v>21631.3322561077</v>
      </c>
      <c r="O51">
        <v>650.229186999999</v>
      </c>
      <c r="P51">
        <v>1</v>
      </c>
      <c r="Q51">
        <v>0</v>
      </c>
      <c r="R51">
        <v>0</v>
      </c>
      <c r="S51">
        <v>-1.91619737750706E-2</v>
      </c>
    </row>
    <row r="52" spans="1:19" x14ac:dyDescent="0.25">
      <c r="A52" t="s">
        <v>31</v>
      </c>
      <c r="B52">
        <v>45953.4</v>
      </c>
      <c r="C52">
        <v>113397.3</v>
      </c>
      <c r="D52">
        <v>138143</v>
      </c>
      <c r="E52">
        <v>3</v>
      </c>
      <c r="F52">
        <v>40</v>
      </c>
      <c r="G52">
        <v>94</v>
      </c>
      <c r="H52">
        <v>4</v>
      </c>
      <c r="I52">
        <v>90</v>
      </c>
      <c r="J52">
        <v>108</v>
      </c>
      <c r="K52">
        <v>7</v>
      </c>
      <c r="L52">
        <v>21794.101670816501</v>
      </c>
      <c r="M52">
        <v>663.63999599999897</v>
      </c>
      <c r="N52">
        <v>21315.677458671002</v>
      </c>
      <c r="O52">
        <v>663.39423899999895</v>
      </c>
      <c r="P52">
        <v>3</v>
      </c>
      <c r="Q52">
        <v>1.1276042643784E-2</v>
      </c>
      <c r="R52">
        <v>1.3102815082769399E-2</v>
      </c>
      <c r="S52">
        <v>-3.0438016418854599E-2</v>
      </c>
    </row>
    <row r="53" spans="1:19" x14ac:dyDescent="0.25">
      <c r="A53" t="s">
        <v>31</v>
      </c>
      <c r="B53">
        <v>45953.4</v>
      </c>
      <c r="C53">
        <v>113397.3</v>
      </c>
      <c r="D53">
        <v>138143</v>
      </c>
      <c r="E53">
        <v>3</v>
      </c>
      <c r="F53">
        <v>40</v>
      </c>
      <c r="G53">
        <v>94</v>
      </c>
      <c r="H53">
        <v>4</v>
      </c>
      <c r="I53">
        <v>90</v>
      </c>
      <c r="J53">
        <v>102</v>
      </c>
      <c r="K53">
        <v>7</v>
      </c>
      <c r="L53">
        <v>21794.101670816501</v>
      </c>
      <c r="M53">
        <v>663.63999599999897</v>
      </c>
      <c r="N53">
        <v>21250.455058510899</v>
      </c>
      <c r="O53">
        <v>675.46419899999898</v>
      </c>
      <c r="P53">
        <v>1</v>
      </c>
      <c r="Q53">
        <v>2.32992044317903E-3</v>
      </c>
      <c r="R53">
        <v>1.2012900058155499E-2</v>
      </c>
      <c r="S53">
        <v>-1.9665121779264199E-2</v>
      </c>
    </row>
    <row r="54" spans="1:19" x14ac:dyDescent="0.25">
      <c r="A54" t="s">
        <v>31</v>
      </c>
      <c r="B54">
        <v>45953.4</v>
      </c>
      <c r="C54">
        <v>113397.3</v>
      </c>
      <c r="D54">
        <v>138143</v>
      </c>
      <c r="E54">
        <v>3</v>
      </c>
      <c r="F54">
        <v>40</v>
      </c>
      <c r="G54">
        <v>94</v>
      </c>
      <c r="H54">
        <v>4</v>
      </c>
      <c r="I54">
        <v>90</v>
      </c>
      <c r="J54">
        <v>112</v>
      </c>
      <c r="K54">
        <v>7</v>
      </c>
      <c r="L54">
        <v>21794.101670816501</v>
      </c>
      <c r="M54">
        <v>663.63999599999897</v>
      </c>
      <c r="N54">
        <v>21170.397850869998</v>
      </c>
      <c r="O54">
        <v>680.72442499999897</v>
      </c>
      <c r="P54">
        <v>1</v>
      </c>
      <c r="Q54">
        <v>2.8598598679072601E-3</v>
      </c>
      <c r="R54">
        <v>5.2353586276435698E-3</v>
      </c>
      <c r="S54">
        <v>-1.05120815890159E-2</v>
      </c>
    </row>
    <row r="55" spans="1:19" x14ac:dyDescent="0.25">
      <c r="A55" t="s">
        <v>31</v>
      </c>
      <c r="B55">
        <v>45953.4</v>
      </c>
      <c r="C55">
        <v>113397.3</v>
      </c>
      <c r="D55">
        <v>138143</v>
      </c>
      <c r="E55">
        <v>3</v>
      </c>
      <c r="F55">
        <v>40</v>
      </c>
      <c r="G55">
        <v>94</v>
      </c>
      <c r="H55">
        <v>4</v>
      </c>
      <c r="I55">
        <v>90</v>
      </c>
      <c r="J55">
        <v>116</v>
      </c>
      <c r="K55">
        <v>7</v>
      </c>
      <c r="L55">
        <v>21794.101670816501</v>
      </c>
      <c r="M55">
        <v>663.63999599999897</v>
      </c>
      <c r="N55">
        <v>21168.931411058002</v>
      </c>
      <c r="O55">
        <v>683.57683399999905</v>
      </c>
      <c r="P55">
        <v>1</v>
      </c>
      <c r="Q55" s="1">
        <v>5.2385194169612898E-5</v>
      </c>
      <c r="R55">
        <v>2.8389244241060398E-3</v>
      </c>
      <c r="S55">
        <v>-5.3291081555419898E-3</v>
      </c>
    </row>
    <row r="56" spans="1:19" x14ac:dyDescent="0.25">
      <c r="A56" t="s">
        <v>31</v>
      </c>
      <c r="B56">
        <v>45953.4</v>
      </c>
      <c r="C56">
        <v>113397.3</v>
      </c>
      <c r="D56">
        <v>138143</v>
      </c>
      <c r="E56">
        <v>3</v>
      </c>
      <c r="F56">
        <v>40</v>
      </c>
      <c r="G56">
        <v>94</v>
      </c>
      <c r="H56">
        <v>4</v>
      </c>
      <c r="I56">
        <v>90</v>
      </c>
      <c r="J56">
        <v>108</v>
      </c>
      <c r="K56">
        <v>7</v>
      </c>
      <c r="L56">
        <v>21794.101670816501</v>
      </c>
      <c r="M56">
        <v>663.63999599999897</v>
      </c>
      <c r="N56">
        <v>21133.3437385289</v>
      </c>
      <c r="O56">
        <v>693.68624699999896</v>
      </c>
      <c r="P56">
        <v>1</v>
      </c>
      <c r="Q56">
        <v>1.2712878634830701E-3</v>
      </c>
      <c r="R56">
        <v>1.00616214151182E-2</v>
      </c>
      <c r="S56">
        <v>-3.7614715949190101E-3</v>
      </c>
    </row>
    <row r="57" spans="1:19" x14ac:dyDescent="0.25">
      <c r="A57" t="s">
        <v>31</v>
      </c>
      <c r="B57">
        <v>45953.4</v>
      </c>
      <c r="C57">
        <v>113397.3</v>
      </c>
      <c r="D57">
        <v>138143</v>
      </c>
      <c r="E57">
        <v>3</v>
      </c>
      <c r="F57">
        <v>40</v>
      </c>
      <c r="G57">
        <v>94</v>
      </c>
      <c r="H57">
        <v>4</v>
      </c>
      <c r="I57">
        <v>90</v>
      </c>
      <c r="J57">
        <v>112</v>
      </c>
      <c r="K57">
        <v>7</v>
      </c>
      <c r="L57">
        <v>21794.101670816501</v>
      </c>
      <c r="M57">
        <v>663.63999599999897</v>
      </c>
      <c r="N57">
        <v>21065.1068387136</v>
      </c>
      <c r="O57">
        <v>709.54719799999998</v>
      </c>
      <c r="P57">
        <v>1</v>
      </c>
      <c r="Q57">
        <v>2.4376065196687301E-3</v>
      </c>
      <c r="R57">
        <v>1.5785969397603999E-2</v>
      </c>
      <c r="S57">
        <v>3.8625433005304798E-3</v>
      </c>
    </row>
    <row r="58" spans="1:19" x14ac:dyDescent="0.25">
      <c r="A58" t="s">
        <v>32</v>
      </c>
      <c r="B58">
        <v>70513.2</v>
      </c>
      <c r="C58">
        <v>77031.100000000006</v>
      </c>
      <c r="D58">
        <v>138143</v>
      </c>
      <c r="E58">
        <v>3</v>
      </c>
      <c r="F58">
        <v>40</v>
      </c>
      <c r="G58">
        <v>123</v>
      </c>
      <c r="H58">
        <v>4</v>
      </c>
      <c r="I58">
        <v>148</v>
      </c>
      <c r="J58">
        <v>152</v>
      </c>
      <c r="K58">
        <v>4</v>
      </c>
      <c r="L58">
        <v>7078.8751808717798</v>
      </c>
      <c r="M58">
        <v>204.192621</v>
      </c>
      <c r="N58">
        <v>7078.8751808717798</v>
      </c>
      <c r="O58">
        <v>193.573883</v>
      </c>
      <c r="P58">
        <v>1</v>
      </c>
      <c r="Q58">
        <v>0</v>
      </c>
      <c r="R58">
        <v>0</v>
      </c>
      <c r="S58">
        <v>-8.36671176109113E-3</v>
      </c>
    </row>
    <row r="59" spans="1:19" x14ac:dyDescent="0.25">
      <c r="A59" t="s">
        <v>32</v>
      </c>
      <c r="B59">
        <v>70513.2</v>
      </c>
      <c r="C59">
        <v>77031.100000000006</v>
      </c>
      <c r="D59">
        <v>138143</v>
      </c>
      <c r="E59">
        <v>3</v>
      </c>
      <c r="F59">
        <v>40</v>
      </c>
      <c r="G59">
        <v>123</v>
      </c>
      <c r="H59">
        <v>4</v>
      </c>
      <c r="I59">
        <v>148</v>
      </c>
      <c r="J59">
        <v>154</v>
      </c>
      <c r="K59">
        <v>4</v>
      </c>
      <c r="L59">
        <v>7078.8751808717798</v>
      </c>
      <c r="M59">
        <v>204.192621</v>
      </c>
      <c r="N59">
        <v>6965.7814543996501</v>
      </c>
      <c r="O59">
        <v>226.29057499999999</v>
      </c>
      <c r="P59">
        <v>1</v>
      </c>
      <c r="Q59">
        <v>4.0483503525085502E-3</v>
      </c>
      <c r="R59">
        <v>2.5778122761894701E-2</v>
      </c>
      <c r="S59">
        <v>-1.2415062113599599E-2</v>
      </c>
    </row>
    <row r="60" spans="1:19" x14ac:dyDescent="0.25">
      <c r="A60" t="s">
        <v>32</v>
      </c>
      <c r="B60">
        <v>70513.2</v>
      </c>
      <c r="C60">
        <v>77031.100000000006</v>
      </c>
      <c r="D60">
        <v>138143</v>
      </c>
      <c r="E60">
        <v>3</v>
      </c>
      <c r="F60">
        <v>40</v>
      </c>
      <c r="G60">
        <v>123</v>
      </c>
      <c r="H60">
        <v>4</v>
      </c>
      <c r="I60">
        <v>148</v>
      </c>
      <c r="J60">
        <v>174</v>
      </c>
      <c r="K60">
        <v>4</v>
      </c>
      <c r="L60">
        <v>7078.8751808717798</v>
      </c>
      <c r="M60">
        <v>204.192621</v>
      </c>
      <c r="N60">
        <v>6857.5421893542898</v>
      </c>
      <c r="O60">
        <v>246.36231900000001</v>
      </c>
      <c r="P60">
        <v>3</v>
      </c>
      <c r="Q60">
        <v>3.8745780201138698E-3</v>
      </c>
      <c r="R60">
        <v>1.58149204350281E-2</v>
      </c>
      <c r="S60">
        <v>9.4884826281811593E-3</v>
      </c>
    </row>
    <row r="61" spans="1:19" x14ac:dyDescent="0.25">
      <c r="A61" t="s">
        <v>32</v>
      </c>
      <c r="B61">
        <v>70513.2</v>
      </c>
      <c r="C61">
        <v>77031.100000000006</v>
      </c>
      <c r="D61">
        <v>138143</v>
      </c>
      <c r="E61">
        <v>3</v>
      </c>
      <c r="F61">
        <v>40</v>
      </c>
      <c r="G61">
        <v>123</v>
      </c>
      <c r="H61">
        <v>4</v>
      </c>
      <c r="I61">
        <v>148</v>
      </c>
      <c r="J61">
        <v>176</v>
      </c>
      <c r="K61">
        <v>4</v>
      </c>
      <c r="L61">
        <v>7078.8751808717798</v>
      </c>
      <c r="M61">
        <v>204.192621</v>
      </c>
      <c r="N61">
        <v>6743.1516169629704</v>
      </c>
      <c r="O61">
        <v>266.359914</v>
      </c>
      <c r="P61">
        <v>3</v>
      </c>
      <c r="Q61">
        <v>4.0947727916473796E-3</v>
      </c>
      <c r="R61">
        <v>1.5756496984861701E-2</v>
      </c>
      <c r="S61">
        <v>2.1208630271561901E-2</v>
      </c>
    </row>
    <row r="62" spans="1:19" x14ac:dyDescent="0.25">
      <c r="A62" t="s">
        <v>33</v>
      </c>
      <c r="B62">
        <v>73278.600000000006</v>
      </c>
      <c r="C62">
        <v>8619</v>
      </c>
      <c r="D62">
        <v>138143</v>
      </c>
      <c r="E62">
        <v>3</v>
      </c>
      <c r="F62">
        <v>40</v>
      </c>
      <c r="G62">
        <v>134</v>
      </c>
      <c r="H62">
        <v>5</v>
      </c>
      <c r="I62">
        <v>146</v>
      </c>
      <c r="J62">
        <v>148</v>
      </c>
      <c r="K62">
        <v>1</v>
      </c>
      <c r="L62">
        <v>26453.569924262199</v>
      </c>
      <c r="M62">
        <v>1326.3239549999901</v>
      </c>
      <c r="N62">
        <v>26399.496979537798</v>
      </c>
      <c r="O62">
        <v>1324.5217709999899</v>
      </c>
      <c r="P62">
        <v>2</v>
      </c>
      <c r="Q62">
        <v>0</v>
      </c>
      <c r="R62">
        <v>0</v>
      </c>
      <c r="S62">
        <v>-3.30089266642996E-3</v>
      </c>
    </row>
    <row r="63" spans="1:19" x14ac:dyDescent="0.25">
      <c r="A63" t="s">
        <v>34</v>
      </c>
      <c r="B63">
        <v>58077.2</v>
      </c>
      <c r="C63">
        <v>109493.2</v>
      </c>
      <c r="D63">
        <v>138143</v>
      </c>
      <c r="E63">
        <v>3</v>
      </c>
      <c r="F63">
        <v>40</v>
      </c>
      <c r="G63">
        <v>112</v>
      </c>
      <c r="H63">
        <v>4</v>
      </c>
      <c r="I63">
        <v>108</v>
      </c>
      <c r="J63">
        <v>108</v>
      </c>
      <c r="K63">
        <v>4</v>
      </c>
      <c r="L63">
        <v>17507.9138795582</v>
      </c>
      <c r="M63">
        <v>755.94189900000003</v>
      </c>
      <c r="N63">
        <v>17507.9138795582</v>
      </c>
      <c r="O63">
        <v>755.94189900000003</v>
      </c>
      <c r="P63">
        <v>2</v>
      </c>
      <c r="Q63">
        <v>0</v>
      </c>
      <c r="R63">
        <v>0</v>
      </c>
      <c r="S63">
        <v>0</v>
      </c>
    </row>
    <row r="64" spans="1:19" x14ac:dyDescent="0.25">
      <c r="A64" t="s">
        <v>34</v>
      </c>
      <c r="B64">
        <v>58077.2</v>
      </c>
      <c r="C64">
        <v>109493.2</v>
      </c>
      <c r="D64">
        <v>138143</v>
      </c>
      <c r="E64">
        <v>3</v>
      </c>
      <c r="F64">
        <v>40</v>
      </c>
      <c r="G64">
        <v>112</v>
      </c>
      <c r="H64">
        <v>4</v>
      </c>
      <c r="I64">
        <v>108</v>
      </c>
      <c r="J64">
        <v>132</v>
      </c>
      <c r="K64">
        <v>4</v>
      </c>
      <c r="L64">
        <v>17507.9138795582</v>
      </c>
      <c r="M64">
        <v>755.94189900000003</v>
      </c>
      <c r="N64">
        <v>17439.680469395</v>
      </c>
      <c r="O64">
        <v>811.84291700000006</v>
      </c>
      <c r="P64">
        <v>1</v>
      </c>
      <c r="Q64">
        <v>2.4450916316605099E-3</v>
      </c>
      <c r="R64">
        <v>6.15923749975461E-2</v>
      </c>
      <c r="S64">
        <v>-2.4450916316605099E-3</v>
      </c>
    </row>
    <row r="65" spans="1:19" x14ac:dyDescent="0.25">
      <c r="A65" t="s">
        <v>34</v>
      </c>
      <c r="B65">
        <v>58077.2</v>
      </c>
      <c r="C65">
        <v>109493.2</v>
      </c>
      <c r="D65">
        <v>138143</v>
      </c>
      <c r="E65">
        <v>3</v>
      </c>
      <c r="F65">
        <v>40</v>
      </c>
      <c r="G65">
        <v>112</v>
      </c>
      <c r="H65">
        <v>4</v>
      </c>
      <c r="I65">
        <v>108</v>
      </c>
      <c r="J65">
        <v>132</v>
      </c>
      <c r="K65">
        <v>4</v>
      </c>
      <c r="L65">
        <v>17507.9138795582</v>
      </c>
      <c r="M65">
        <v>755.94189900000003</v>
      </c>
      <c r="N65">
        <v>17366.4472502645</v>
      </c>
      <c r="O65">
        <v>821.15693599999997</v>
      </c>
      <c r="P65">
        <v>4</v>
      </c>
      <c r="Q65">
        <v>2.6242559301546901E-3</v>
      </c>
      <c r="R65">
        <v>1.0262291663137E-2</v>
      </c>
      <c r="S65">
        <v>5.6523027435730899E-2</v>
      </c>
    </row>
    <row r="66" spans="1:19" x14ac:dyDescent="0.25">
      <c r="A66" t="s">
        <v>34</v>
      </c>
      <c r="B66">
        <v>58077.2</v>
      </c>
      <c r="C66">
        <v>109493.2</v>
      </c>
      <c r="D66">
        <v>138143</v>
      </c>
      <c r="E66">
        <v>3</v>
      </c>
      <c r="F66">
        <v>40</v>
      </c>
      <c r="G66">
        <v>112</v>
      </c>
      <c r="H66">
        <v>4</v>
      </c>
      <c r="I66">
        <v>108</v>
      </c>
      <c r="J66">
        <v>142</v>
      </c>
      <c r="K66">
        <v>4</v>
      </c>
      <c r="L66">
        <v>17507.9138795582</v>
      </c>
      <c r="M66">
        <v>755.94189900000003</v>
      </c>
      <c r="N66">
        <v>17270.574597742001</v>
      </c>
      <c r="O66">
        <v>852.84259999999995</v>
      </c>
      <c r="P66">
        <v>2</v>
      </c>
      <c r="Q66">
        <v>3.4355225662448998E-3</v>
      </c>
      <c r="R66">
        <v>3.4911623597520799E-2</v>
      </c>
      <c r="S66">
        <v>6.3349796532623001E-2</v>
      </c>
    </row>
    <row r="67" spans="1:19" x14ac:dyDescent="0.25">
      <c r="A67" t="s">
        <v>35</v>
      </c>
      <c r="B67">
        <v>53323.9</v>
      </c>
      <c r="C67">
        <v>65731.100000000006</v>
      </c>
      <c r="D67">
        <v>138143</v>
      </c>
      <c r="E67">
        <v>3</v>
      </c>
      <c r="F67">
        <v>40</v>
      </c>
      <c r="G67">
        <v>105</v>
      </c>
      <c r="H67">
        <v>5</v>
      </c>
      <c r="I67">
        <v>110</v>
      </c>
      <c r="J67">
        <v>110</v>
      </c>
      <c r="K67">
        <v>3</v>
      </c>
      <c r="L67">
        <v>11510.493457366199</v>
      </c>
      <c r="M67">
        <v>840.68796499999996</v>
      </c>
      <c r="N67">
        <v>11510.493457366199</v>
      </c>
      <c r="O67">
        <v>840.68796499999996</v>
      </c>
      <c r="P67">
        <v>3</v>
      </c>
      <c r="Q67">
        <v>0</v>
      </c>
      <c r="R67">
        <v>0</v>
      </c>
      <c r="S67">
        <v>0</v>
      </c>
    </row>
    <row r="68" spans="1:19" x14ac:dyDescent="0.25">
      <c r="A68" t="s">
        <v>35</v>
      </c>
      <c r="B68">
        <v>53323.9</v>
      </c>
      <c r="C68">
        <v>65731.100000000006</v>
      </c>
      <c r="D68">
        <v>138143</v>
      </c>
      <c r="E68">
        <v>3</v>
      </c>
      <c r="F68">
        <v>40</v>
      </c>
      <c r="G68">
        <v>105</v>
      </c>
      <c r="H68">
        <v>5</v>
      </c>
      <c r="I68">
        <v>110</v>
      </c>
      <c r="J68">
        <v>116</v>
      </c>
      <c r="K68">
        <v>3</v>
      </c>
      <c r="L68">
        <v>11510.493457366199</v>
      </c>
      <c r="M68">
        <v>840.68796499999996</v>
      </c>
      <c r="N68">
        <v>10913.365845034599</v>
      </c>
      <c r="O68">
        <v>871.57081799999901</v>
      </c>
      <c r="P68">
        <v>3</v>
      </c>
      <c r="Q68">
        <v>2.1918177381269999E-2</v>
      </c>
      <c r="R68">
        <v>2.6790230265853199E-2</v>
      </c>
      <c r="S68">
        <v>-2.1918177381269999E-2</v>
      </c>
    </row>
    <row r="69" spans="1:19" x14ac:dyDescent="0.25">
      <c r="A69" t="s">
        <v>35</v>
      </c>
      <c r="B69">
        <v>53323.9</v>
      </c>
      <c r="C69">
        <v>65731.100000000006</v>
      </c>
      <c r="D69">
        <v>138143</v>
      </c>
      <c r="E69">
        <v>3</v>
      </c>
      <c r="F69">
        <v>40</v>
      </c>
      <c r="G69">
        <v>105</v>
      </c>
      <c r="H69">
        <v>5</v>
      </c>
      <c r="I69">
        <v>110</v>
      </c>
      <c r="J69">
        <v>144</v>
      </c>
      <c r="K69">
        <v>3</v>
      </c>
      <c r="L69">
        <v>11510.493457366199</v>
      </c>
      <c r="M69">
        <v>840.68796499999996</v>
      </c>
      <c r="N69">
        <v>10460.399082420799</v>
      </c>
      <c r="O69">
        <v>991.32161199999996</v>
      </c>
      <c r="P69">
        <v>1</v>
      </c>
      <c r="Q69">
        <v>1.6626606517191299E-2</v>
      </c>
      <c r="R69">
        <v>0.10388131387274201</v>
      </c>
      <c r="S69">
        <v>-1.1754553632608101E-2</v>
      </c>
    </row>
    <row r="70" spans="1:19" x14ac:dyDescent="0.25">
      <c r="A70" t="s">
        <v>36</v>
      </c>
      <c r="B70">
        <v>52425.9</v>
      </c>
      <c r="C70">
        <v>103504.4</v>
      </c>
      <c r="D70">
        <v>138143</v>
      </c>
      <c r="E70">
        <v>3</v>
      </c>
      <c r="F70">
        <v>40</v>
      </c>
      <c r="G70">
        <v>107</v>
      </c>
      <c r="H70">
        <v>6</v>
      </c>
      <c r="I70">
        <v>90</v>
      </c>
      <c r="J70">
        <v>90</v>
      </c>
      <c r="K70">
        <v>6</v>
      </c>
      <c r="L70">
        <v>12292.837453115701</v>
      </c>
      <c r="M70">
        <v>822.91694900000005</v>
      </c>
      <c r="N70">
        <v>12292.837453115701</v>
      </c>
      <c r="O70">
        <v>822.91694900000005</v>
      </c>
      <c r="P70">
        <v>2</v>
      </c>
      <c r="Q70">
        <v>0</v>
      </c>
      <c r="R70">
        <v>0</v>
      </c>
      <c r="S70">
        <v>0</v>
      </c>
    </row>
    <row r="71" spans="1:19" x14ac:dyDescent="0.25">
      <c r="A71" t="s">
        <v>36</v>
      </c>
      <c r="B71">
        <v>52425.9</v>
      </c>
      <c r="C71">
        <v>103504.4</v>
      </c>
      <c r="D71">
        <v>138143</v>
      </c>
      <c r="E71">
        <v>3</v>
      </c>
      <c r="F71">
        <v>40</v>
      </c>
      <c r="G71">
        <v>107</v>
      </c>
      <c r="H71">
        <v>6</v>
      </c>
      <c r="I71">
        <v>90</v>
      </c>
      <c r="J71">
        <v>88</v>
      </c>
      <c r="K71">
        <v>6</v>
      </c>
      <c r="L71">
        <v>12292.837453115701</v>
      </c>
      <c r="M71">
        <v>822.91694900000005</v>
      </c>
      <c r="N71">
        <v>11768.2810160313</v>
      </c>
      <c r="O71">
        <v>848.81037900000001</v>
      </c>
      <c r="P71">
        <v>2</v>
      </c>
      <c r="Q71">
        <v>1.9495169879375999E-2</v>
      </c>
      <c r="R71">
        <v>2.2819192231353199E-2</v>
      </c>
      <c r="S71">
        <v>-1.9495169879375999E-2</v>
      </c>
    </row>
    <row r="72" spans="1:19" x14ac:dyDescent="0.25">
      <c r="A72" t="s">
        <v>36</v>
      </c>
      <c r="B72">
        <v>52425.9</v>
      </c>
      <c r="C72">
        <v>103504.4</v>
      </c>
      <c r="D72">
        <v>138143</v>
      </c>
      <c r="E72">
        <v>3</v>
      </c>
      <c r="F72">
        <v>40</v>
      </c>
      <c r="G72">
        <v>107</v>
      </c>
      <c r="H72">
        <v>6</v>
      </c>
      <c r="I72">
        <v>90</v>
      </c>
      <c r="J72">
        <v>128</v>
      </c>
      <c r="K72">
        <v>6</v>
      </c>
      <c r="L72">
        <v>12292.837453115701</v>
      </c>
      <c r="M72">
        <v>822.91694900000005</v>
      </c>
      <c r="N72">
        <v>11702.8321091048</v>
      </c>
      <c r="O72">
        <v>888.87649499999998</v>
      </c>
      <c r="P72">
        <v>1</v>
      </c>
      <c r="Q72">
        <v>2.4324123559384902E-3</v>
      </c>
      <c r="R72">
        <v>3.5309204032362498E-2</v>
      </c>
      <c r="S72" s="1">
        <v>8.91609996038655E-4</v>
      </c>
    </row>
    <row r="73" spans="1:19" x14ac:dyDescent="0.25">
      <c r="A73" t="s">
        <v>36</v>
      </c>
      <c r="B73">
        <v>52425.9</v>
      </c>
      <c r="C73">
        <v>103504.4</v>
      </c>
      <c r="D73">
        <v>138143</v>
      </c>
      <c r="E73">
        <v>3</v>
      </c>
      <c r="F73">
        <v>40</v>
      </c>
      <c r="G73">
        <v>107</v>
      </c>
      <c r="H73">
        <v>6</v>
      </c>
      <c r="I73">
        <v>90</v>
      </c>
      <c r="J73">
        <v>122</v>
      </c>
      <c r="K73">
        <v>6</v>
      </c>
      <c r="L73">
        <v>12292.837453115701</v>
      </c>
      <c r="M73">
        <v>822.91694900000005</v>
      </c>
      <c r="N73">
        <v>11652.793812350699</v>
      </c>
      <c r="O73">
        <v>904.64561600000002</v>
      </c>
      <c r="P73">
        <v>1</v>
      </c>
      <c r="Q73">
        <v>1.8596761506127701E-3</v>
      </c>
      <c r="R73">
        <v>1.3896907571475501E-2</v>
      </c>
      <c r="S73">
        <v>3.4341137877788398E-2</v>
      </c>
    </row>
    <row r="74" spans="1:19" x14ac:dyDescent="0.25">
      <c r="A74" t="s">
        <v>36</v>
      </c>
      <c r="B74">
        <v>52425.9</v>
      </c>
      <c r="C74">
        <v>103504.4</v>
      </c>
      <c r="D74">
        <v>138143</v>
      </c>
      <c r="E74">
        <v>3</v>
      </c>
      <c r="F74">
        <v>40</v>
      </c>
      <c r="G74">
        <v>107</v>
      </c>
      <c r="H74">
        <v>6</v>
      </c>
      <c r="I74">
        <v>90</v>
      </c>
      <c r="J74">
        <v>116</v>
      </c>
      <c r="K74">
        <v>6</v>
      </c>
      <c r="L74">
        <v>12292.837453115701</v>
      </c>
      <c r="M74">
        <v>822.91694900000005</v>
      </c>
      <c r="N74">
        <v>11184.528796712701</v>
      </c>
      <c r="O74">
        <v>920.33187999999996</v>
      </c>
      <c r="P74">
        <v>1</v>
      </c>
      <c r="Q74">
        <v>1.7403095993204099E-2</v>
      </c>
      <c r="R74">
        <v>1.38238878977314E-2</v>
      </c>
      <c r="S74">
        <v>3.0834949456059899E-2</v>
      </c>
    </row>
    <row r="75" spans="1:19" x14ac:dyDescent="0.25">
      <c r="A75" t="s">
        <v>36</v>
      </c>
      <c r="B75">
        <v>52425.9</v>
      </c>
      <c r="C75">
        <v>103504.4</v>
      </c>
      <c r="D75">
        <v>138143</v>
      </c>
      <c r="E75">
        <v>3</v>
      </c>
      <c r="F75">
        <v>40</v>
      </c>
      <c r="G75">
        <v>107</v>
      </c>
      <c r="H75">
        <v>6</v>
      </c>
      <c r="I75">
        <v>90</v>
      </c>
      <c r="J75">
        <v>122</v>
      </c>
      <c r="K75">
        <v>6</v>
      </c>
      <c r="L75">
        <v>12292.837453115701</v>
      </c>
      <c r="M75">
        <v>822.91694900000005</v>
      </c>
      <c r="N75">
        <v>10630.2115967465</v>
      </c>
      <c r="O75">
        <v>925.66446599999995</v>
      </c>
      <c r="P75">
        <v>2</v>
      </c>
      <c r="Q75">
        <v>2.0601230327981199E-2</v>
      </c>
      <c r="R75">
        <v>4.69946642929175E-3</v>
      </c>
      <c r="S75">
        <v>2.4057607025810099E-2</v>
      </c>
    </row>
    <row r="76" spans="1:19" x14ac:dyDescent="0.25">
      <c r="A76" t="s">
        <v>37</v>
      </c>
      <c r="B76">
        <v>61936.9</v>
      </c>
      <c r="C76">
        <v>108177.5</v>
      </c>
      <c r="D76">
        <v>138143</v>
      </c>
      <c r="E76">
        <v>3</v>
      </c>
      <c r="F76">
        <v>40</v>
      </c>
      <c r="G76">
        <v>119</v>
      </c>
      <c r="H76">
        <v>5</v>
      </c>
      <c r="I76">
        <v>138</v>
      </c>
      <c r="J76">
        <v>138</v>
      </c>
      <c r="K76">
        <v>4</v>
      </c>
      <c r="L76">
        <v>7064.6205834197399</v>
      </c>
      <c r="M76">
        <v>903.35524299999997</v>
      </c>
      <c r="N76">
        <v>7064.6205834197399</v>
      </c>
      <c r="O76">
        <v>903.35524299999997</v>
      </c>
      <c r="P76">
        <v>6</v>
      </c>
      <c r="Q76">
        <v>0</v>
      </c>
      <c r="R76">
        <v>0</v>
      </c>
      <c r="S76">
        <v>0</v>
      </c>
    </row>
    <row r="77" spans="1:19" x14ac:dyDescent="0.25">
      <c r="A77" t="s">
        <v>37</v>
      </c>
      <c r="B77">
        <v>61936.9</v>
      </c>
      <c r="C77">
        <v>108177.5</v>
      </c>
      <c r="D77">
        <v>138143</v>
      </c>
      <c r="E77">
        <v>3</v>
      </c>
      <c r="F77">
        <v>40</v>
      </c>
      <c r="G77">
        <v>119</v>
      </c>
      <c r="H77">
        <v>5</v>
      </c>
      <c r="I77">
        <v>138</v>
      </c>
      <c r="J77">
        <v>144</v>
      </c>
      <c r="K77">
        <v>4</v>
      </c>
      <c r="L77">
        <v>7064.6205834197399</v>
      </c>
      <c r="M77">
        <v>903.35524299999997</v>
      </c>
      <c r="N77">
        <v>6918.4834940205101</v>
      </c>
      <c r="O77">
        <v>915.08526300000005</v>
      </c>
      <c r="P77">
        <v>1</v>
      </c>
      <c r="Q77">
        <v>5.2730730468804003E-3</v>
      </c>
      <c r="R77">
        <v>9.5706563634448908E-3</v>
      </c>
      <c r="S77">
        <v>-5.2730730468804003E-3</v>
      </c>
    </row>
    <row r="78" spans="1:19" x14ac:dyDescent="0.25">
      <c r="A78" t="s">
        <v>37</v>
      </c>
      <c r="B78">
        <v>61936.9</v>
      </c>
      <c r="C78">
        <v>108177.5</v>
      </c>
      <c r="D78">
        <v>138143</v>
      </c>
      <c r="E78">
        <v>3</v>
      </c>
      <c r="F78">
        <v>40</v>
      </c>
      <c r="G78">
        <v>119</v>
      </c>
      <c r="H78">
        <v>5</v>
      </c>
      <c r="I78">
        <v>138</v>
      </c>
      <c r="J78">
        <v>142</v>
      </c>
      <c r="K78">
        <v>4</v>
      </c>
      <c r="L78">
        <v>7064.6205834197399</v>
      </c>
      <c r="M78">
        <v>903.35524299999997</v>
      </c>
      <c r="N78">
        <v>5887.6065413589904</v>
      </c>
      <c r="O78">
        <v>917.98813500000006</v>
      </c>
      <c r="P78">
        <v>1</v>
      </c>
      <c r="Q78">
        <v>3.71971926913061E-2</v>
      </c>
      <c r="R78">
        <v>2.3684861900548E-3</v>
      </c>
      <c r="S78">
        <v>-3.2899609374741602E-2</v>
      </c>
    </row>
    <row r="79" spans="1:19" x14ac:dyDescent="0.25">
      <c r="A79" t="s">
        <v>37</v>
      </c>
      <c r="B79">
        <v>61936.9</v>
      </c>
      <c r="C79">
        <v>108177.5</v>
      </c>
      <c r="D79">
        <v>138143</v>
      </c>
      <c r="E79">
        <v>3</v>
      </c>
      <c r="F79">
        <v>40</v>
      </c>
      <c r="G79">
        <v>119</v>
      </c>
      <c r="H79">
        <v>5</v>
      </c>
      <c r="I79">
        <v>138</v>
      </c>
      <c r="J79">
        <v>152</v>
      </c>
      <c r="K79">
        <v>4</v>
      </c>
      <c r="L79">
        <v>7064.6205834197399</v>
      </c>
      <c r="M79">
        <v>903.35524299999997</v>
      </c>
      <c r="N79">
        <v>5733.8687790169697</v>
      </c>
      <c r="O79">
        <v>961.44722100000001</v>
      </c>
      <c r="P79">
        <v>1</v>
      </c>
      <c r="Q79">
        <v>5.5473285681690802E-3</v>
      </c>
      <c r="R79">
        <v>3.5458761193535603E-2</v>
      </c>
      <c r="S79">
        <v>-3.60784517528559E-2</v>
      </c>
    </row>
    <row r="80" spans="1:19" x14ac:dyDescent="0.25">
      <c r="A80" t="s">
        <v>38</v>
      </c>
      <c r="B80">
        <v>103262.2</v>
      </c>
      <c r="C80">
        <v>101200.7</v>
      </c>
      <c r="D80">
        <v>138143</v>
      </c>
      <c r="E80">
        <v>3</v>
      </c>
      <c r="F80">
        <v>40</v>
      </c>
      <c r="G80">
        <v>123</v>
      </c>
      <c r="H80">
        <v>4</v>
      </c>
      <c r="I80">
        <v>152</v>
      </c>
      <c r="J80">
        <v>162</v>
      </c>
      <c r="K80">
        <v>6</v>
      </c>
      <c r="L80">
        <v>9475.2059329137792</v>
      </c>
      <c r="M80">
        <v>317.05541799999997</v>
      </c>
      <c r="N80">
        <v>9475.2059329137901</v>
      </c>
      <c r="O80">
        <v>303.29313400000001</v>
      </c>
      <c r="P80">
        <v>3</v>
      </c>
      <c r="Q80">
        <v>0</v>
      </c>
      <c r="R80">
        <v>0</v>
      </c>
      <c r="S80">
        <v>-1.1456531352741901E-2</v>
      </c>
    </row>
    <row r="81" spans="1:19" x14ac:dyDescent="0.25">
      <c r="A81" t="s">
        <v>38</v>
      </c>
      <c r="B81">
        <v>103262.2</v>
      </c>
      <c r="C81">
        <v>101200.7</v>
      </c>
      <c r="D81">
        <v>138143</v>
      </c>
      <c r="E81">
        <v>3</v>
      </c>
      <c r="F81">
        <v>40</v>
      </c>
      <c r="G81">
        <v>123</v>
      </c>
      <c r="H81">
        <v>4</v>
      </c>
      <c r="I81">
        <v>152</v>
      </c>
      <c r="J81">
        <v>154</v>
      </c>
      <c r="K81">
        <v>6</v>
      </c>
      <c r="L81">
        <v>9475.2059329137792</v>
      </c>
      <c r="M81">
        <v>317.05541799999997</v>
      </c>
      <c r="N81">
        <v>9475.2059329137792</v>
      </c>
      <c r="O81">
        <v>306.39818100000002</v>
      </c>
      <c r="P81">
        <v>2</v>
      </c>
      <c r="Q81" s="1">
        <v>1.11022302462515E-16</v>
      </c>
      <c r="R81">
        <v>2.5848230066490199E-3</v>
      </c>
      <c r="S81">
        <v>-1.14565313527421E-2</v>
      </c>
    </row>
    <row r="82" spans="1:19" x14ac:dyDescent="0.25">
      <c r="A82" t="s">
        <v>38</v>
      </c>
      <c r="B82">
        <v>103262.2</v>
      </c>
      <c r="C82">
        <v>101200.7</v>
      </c>
      <c r="D82">
        <v>138143</v>
      </c>
      <c r="E82">
        <v>3</v>
      </c>
      <c r="F82">
        <v>40</v>
      </c>
      <c r="G82">
        <v>123</v>
      </c>
      <c r="H82">
        <v>4</v>
      </c>
      <c r="I82">
        <v>152</v>
      </c>
      <c r="J82">
        <v>162</v>
      </c>
      <c r="K82">
        <v>6</v>
      </c>
      <c r="L82">
        <v>9475.2059329137792</v>
      </c>
      <c r="M82">
        <v>317.05541799999997</v>
      </c>
      <c r="N82">
        <v>8306.6821788304096</v>
      </c>
      <c r="O82">
        <v>308.90742899999998</v>
      </c>
      <c r="P82">
        <v>2</v>
      </c>
      <c r="Q82">
        <v>4.1747396418809903E-2</v>
      </c>
      <c r="R82">
        <v>2.0888450190248401E-3</v>
      </c>
      <c r="S82">
        <v>-5.0619104764903E-2</v>
      </c>
    </row>
    <row r="83" spans="1:19" x14ac:dyDescent="0.25">
      <c r="A83" t="s">
        <v>38</v>
      </c>
      <c r="B83">
        <v>103262.2</v>
      </c>
      <c r="C83">
        <v>101200.7</v>
      </c>
      <c r="D83">
        <v>138143</v>
      </c>
      <c r="E83">
        <v>3</v>
      </c>
      <c r="F83">
        <v>40</v>
      </c>
      <c r="G83">
        <v>123</v>
      </c>
      <c r="H83">
        <v>4</v>
      </c>
      <c r="I83">
        <v>152</v>
      </c>
      <c r="J83">
        <v>168</v>
      </c>
      <c r="K83">
        <v>6</v>
      </c>
      <c r="L83">
        <v>9475.2059329137792</v>
      </c>
      <c r="M83">
        <v>317.05541799999997</v>
      </c>
      <c r="N83">
        <v>7610.4107550128601</v>
      </c>
      <c r="O83">
        <v>319.64679899999999</v>
      </c>
      <c r="P83">
        <v>1</v>
      </c>
      <c r="Q83">
        <v>2.4875419984937801E-2</v>
      </c>
      <c r="R83">
        <v>8.9400806663848496E-3</v>
      </c>
      <c r="S83">
        <v>-7.3405679730816006E-2</v>
      </c>
    </row>
    <row r="84" spans="1:19" x14ac:dyDescent="0.25">
      <c r="A84" t="s">
        <v>38</v>
      </c>
      <c r="B84">
        <v>103262.2</v>
      </c>
      <c r="C84">
        <v>101200.7</v>
      </c>
      <c r="D84">
        <v>138143</v>
      </c>
      <c r="E84">
        <v>3</v>
      </c>
      <c r="F84">
        <v>40</v>
      </c>
      <c r="G84">
        <v>123</v>
      </c>
      <c r="H84">
        <v>4</v>
      </c>
      <c r="I84">
        <v>152</v>
      </c>
      <c r="J84">
        <v>158</v>
      </c>
      <c r="K84">
        <v>6</v>
      </c>
      <c r="L84">
        <v>9475.2059329137792</v>
      </c>
      <c r="M84">
        <v>317.05541799999997</v>
      </c>
      <c r="N84">
        <v>7474.9344067120601</v>
      </c>
      <c r="O84">
        <v>336.96046799999999</v>
      </c>
      <c r="P84">
        <v>1</v>
      </c>
      <c r="Q84">
        <v>4.8401111215088301E-3</v>
      </c>
      <c r="R84">
        <v>1.4412912255661801E-2</v>
      </c>
      <c r="S84">
        <v>-6.9305710185940006E-2</v>
      </c>
    </row>
    <row r="85" spans="1:19" x14ac:dyDescent="0.25">
      <c r="A85" t="s">
        <v>38</v>
      </c>
      <c r="B85">
        <v>103262.2</v>
      </c>
      <c r="C85">
        <v>101200.7</v>
      </c>
      <c r="D85">
        <v>138143</v>
      </c>
      <c r="E85">
        <v>3</v>
      </c>
      <c r="F85">
        <v>40</v>
      </c>
      <c r="G85">
        <v>123</v>
      </c>
      <c r="H85">
        <v>4</v>
      </c>
      <c r="I85">
        <v>152</v>
      </c>
      <c r="J85">
        <v>172</v>
      </c>
      <c r="K85">
        <v>6</v>
      </c>
      <c r="L85">
        <v>9475.2059329137792</v>
      </c>
      <c r="M85">
        <v>317.05541799999997</v>
      </c>
      <c r="N85">
        <v>7269.6629741066199</v>
      </c>
      <c r="O85">
        <v>344.69742499999899</v>
      </c>
      <c r="P85">
        <v>1</v>
      </c>
      <c r="Q85">
        <v>7.33365311615669E-3</v>
      </c>
      <c r="R85">
        <v>6.4406962133114398E-3</v>
      </c>
      <c r="S85">
        <v>-6.2226451046434803E-2</v>
      </c>
    </row>
    <row r="86" spans="1:19" x14ac:dyDescent="0.25">
      <c r="A86" t="s">
        <v>39</v>
      </c>
      <c r="B86">
        <v>109058.8</v>
      </c>
      <c r="C86">
        <v>108367.8</v>
      </c>
      <c r="D86">
        <v>138143</v>
      </c>
      <c r="E86">
        <v>3</v>
      </c>
      <c r="F86">
        <v>40</v>
      </c>
      <c r="G86">
        <v>130</v>
      </c>
      <c r="H86">
        <v>5</v>
      </c>
      <c r="I86">
        <v>152</v>
      </c>
      <c r="J86">
        <v>176</v>
      </c>
      <c r="K86">
        <v>5</v>
      </c>
      <c r="L86">
        <v>18596.402849268499</v>
      </c>
      <c r="M86">
        <v>1139.9359449999999</v>
      </c>
      <c r="N86">
        <v>18520.070056543202</v>
      </c>
      <c r="O86">
        <v>1113.442967</v>
      </c>
      <c r="P86">
        <v>2</v>
      </c>
      <c r="Q86">
        <v>0</v>
      </c>
      <c r="R86">
        <v>0</v>
      </c>
      <c r="S86">
        <v>-2.3762389694834501E-2</v>
      </c>
    </row>
    <row r="87" spans="1:19" x14ac:dyDescent="0.25">
      <c r="A87" t="s">
        <v>39</v>
      </c>
      <c r="B87">
        <v>109058.8</v>
      </c>
      <c r="C87">
        <v>108367.8</v>
      </c>
      <c r="D87">
        <v>138143</v>
      </c>
      <c r="E87">
        <v>3</v>
      </c>
      <c r="F87">
        <v>40</v>
      </c>
      <c r="G87">
        <v>130</v>
      </c>
      <c r="H87">
        <v>5</v>
      </c>
      <c r="I87">
        <v>152</v>
      </c>
      <c r="J87">
        <v>180</v>
      </c>
      <c r="K87">
        <v>5</v>
      </c>
      <c r="L87">
        <v>18596.402849268499</v>
      </c>
      <c r="M87">
        <v>1139.9359449999999</v>
      </c>
      <c r="N87">
        <v>18317.307362952801</v>
      </c>
      <c r="O87">
        <v>1114.5793179999901</v>
      </c>
      <c r="P87">
        <v>1</v>
      </c>
      <c r="Q87">
        <v>7.3055058425596196E-3</v>
      </c>
      <c r="R87" s="1">
        <v>9.0126361719389204E-4</v>
      </c>
      <c r="S87">
        <v>-3.10678955373941E-2</v>
      </c>
    </row>
    <row r="88" spans="1:19" x14ac:dyDescent="0.25">
      <c r="A88" t="s">
        <v>39</v>
      </c>
      <c r="B88">
        <v>109058.8</v>
      </c>
      <c r="C88">
        <v>108367.8</v>
      </c>
      <c r="D88">
        <v>138143</v>
      </c>
      <c r="E88">
        <v>3</v>
      </c>
      <c r="F88">
        <v>40</v>
      </c>
      <c r="G88">
        <v>130</v>
      </c>
      <c r="H88">
        <v>5</v>
      </c>
      <c r="I88">
        <v>152</v>
      </c>
      <c r="J88">
        <v>180</v>
      </c>
      <c r="K88">
        <v>5</v>
      </c>
      <c r="L88">
        <v>18596.402849268499</v>
      </c>
      <c r="M88">
        <v>1139.9359449999999</v>
      </c>
      <c r="N88">
        <v>18084.661690498298</v>
      </c>
      <c r="O88">
        <v>1131.875659</v>
      </c>
      <c r="P88">
        <v>7</v>
      </c>
      <c r="Q88">
        <v>8.3821845590374908E-3</v>
      </c>
      <c r="R88">
        <v>1.37180878565548E-2</v>
      </c>
      <c r="S88">
        <v>-3.8548816479237802E-2</v>
      </c>
    </row>
    <row r="89" spans="1:19" x14ac:dyDescent="0.25">
      <c r="A89" t="s">
        <v>39</v>
      </c>
      <c r="B89">
        <v>109058.8</v>
      </c>
      <c r="C89">
        <v>108367.8</v>
      </c>
      <c r="D89">
        <v>138143</v>
      </c>
      <c r="E89">
        <v>3</v>
      </c>
      <c r="F89">
        <v>40</v>
      </c>
      <c r="G89">
        <v>130</v>
      </c>
      <c r="H89">
        <v>5</v>
      </c>
      <c r="I89">
        <v>152</v>
      </c>
      <c r="J89">
        <v>180</v>
      </c>
      <c r="K89">
        <v>5</v>
      </c>
      <c r="L89">
        <v>18596.402849268499</v>
      </c>
      <c r="M89">
        <v>1139.9359449999999</v>
      </c>
      <c r="N89">
        <v>18027.3380396268</v>
      </c>
      <c r="O89">
        <v>1174.166876</v>
      </c>
      <c r="P89">
        <v>3</v>
      </c>
      <c r="Q89">
        <v>2.0653615265359099E-3</v>
      </c>
      <c r="R89">
        <v>3.35420439714166E-2</v>
      </c>
      <c r="S89">
        <v>-2.6896090149218899E-2</v>
      </c>
    </row>
    <row r="90" spans="1:19" x14ac:dyDescent="0.25">
      <c r="A90" t="s">
        <v>39</v>
      </c>
      <c r="B90">
        <v>109058.8</v>
      </c>
      <c r="C90">
        <v>108367.8</v>
      </c>
      <c r="D90">
        <v>138143</v>
      </c>
      <c r="E90">
        <v>3</v>
      </c>
      <c r="F90">
        <v>40</v>
      </c>
      <c r="G90">
        <v>130</v>
      </c>
      <c r="H90">
        <v>5</v>
      </c>
      <c r="I90">
        <v>152</v>
      </c>
      <c r="J90">
        <v>174</v>
      </c>
      <c r="K90">
        <v>5</v>
      </c>
      <c r="L90">
        <v>18596.402849268499</v>
      </c>
      <c r="M90">
        <v>1139.9359449999999</v>
      </c>
      <c r="N90">
        <v>17945.270184899699</v>
      </c>
      <c r="O90">
        <v>1180.058933</v>
      </c>
      <c r="P90">
        <v>1</v>
      </c>
      <c r="Q90">
        <v>2.9568910413397798E-3</v>
      </c>
      <c r="R90">
        <v>4.67311297700656E-3</v>
      </c>
      <c r="S90">
        <v>3.6890627808580101E-3</v>
      </c>
    </row>
    <row r="91" spans="1:19" x14ac:dyDescent="0.25">
      <c r="A91" t="s">
        <v>40</v>
      </c>
      <c r="B91">
        <v>98615.7</v>
      </c>
      <c r="C91">
        <v>90185.7</v>
      </c>
      <c r="D91">
        <v>138143</v>
      </c>
      <c r="E91">
        <v>3</v>
      </c>
      <c r="F91">
        <v>40</v>
      </c>
      <c r="G91">
        <v>122</v>
      </c>
      <c r="H91">
        <v>5</v>
      </c>
      <c r="I91">
        <v>154</v>
      </c>
      <c r="J91">
        <v>180</v>
      </c>
      <c r="K91">
        <v>3</v>
      </c>
      <c r="L91">
        <v>24009.078401543298</v>
      </c>
      <c r="M91">
        <v>898.75042799999903</v>
      </c>
      <c r="N91">
        <v>23998.378029257601</v>
      </c>
      <c r="O91">
        <v>855.66039999999896</v>
      </c>
      <c r="P91">
        <v>3</v>
      </c>
      <c r="Q91">
        <v>0</v>
      </c>
      <c r="R91">
        <v>0</v>
      </c>
      <c r="S91">
        <v>-3.8228922023595797E-2</v>
      </c>
    </row>
    <row r="92" spans="1:19" x14ac:dyDescent="0.25">
      <c r="A92" t="s">
        <v>40</v>
      </c>
      <c r="B92">
        <v>98615.7</v>
      </c>
      <c r="C92">
        <v>90185.7</v>
      </c>
      <c r="D92">
        <v>138143</v>
      </c>
      <c r="E92">
        <v>3</v>
      </c>
      <c r="F92">
        <v>40</v>
      </c>
      <c r="G92">
        <v>122</v>
      </c>
      <c r="H92">
        <v>5</v>
      </c>
      <c r="I92">
        <v>154</v>
      </c>
      <c r="J92">
        <v>170</v>
      </c>
      <c r="K92">
        <v>3</v>
      </c>
      <c r="L92">
        <v>24009.078401543298</v>
      </c>
      <c r="M92">
        <v>898.75042799999903</v>
      </c>
      <c r="N92">
        <v>23974.048191127298</v>
      </c>
      <c r="O92">
        <v>861.97840499999995</v>
      </c>
      <c r="P92">
        <v>35</v>
      </c>
      <c r="Q92" s="1">
        <v>9.3614033505995398E-4</v>
      </c>
      <c r="R92">
        <v>5.5448856864138696E-3</v>
      </c>
      <c r="S92">
        <v>-3.91650623586558E-2</v>
      </c>
    </row>
    <row r="93" spans="1:19" x14ac:dyDescent="0.25">
      <c r="A93" t="s">
        <v>40</v>
      </c>
      <c r="B93">
        <v>98615.7</v>
      </c>
      <c r="C93">
        <v>90185.7</v>
      </c>
      <c r="D93">
        <v>138143</v>
      </c>
      <c r="E93">
        <v>3</v>
      </c>
      <c r="F93">
        <v>40</v>
      </c>
      <c r="G93">
        <v>122</v>
      </c>
      <c r="H93">
        <v>5</v>
      </c>
      <c r="I93">
        <v>154</v>
      </c>
      <c r="J93">
        <v>158</v>
      </c>
      <c r="K93">
        <v>3</v>
      </c>
      <c r="L93">
        <v>24009.078401543298</v>
      </c>
      <c r="M93">
        <v>898.75042799999903</v>
      </c>
      <c r="N93">
        <v>23969.754685452499</v>
      </c>
      <c r="O93">
        <v>872.89192899999898</v>
      </c>
      <c r="P93">
        <v>74</v>
      </c>
      <c r="Q93" s="1">
        <v>1.6520142137454999E-4</v>
      </c>
      <c r="R93">
        <v>9.5780619065565197E-3</v>
      </c>
      <c r="S93">
        <v>-3.3785378093616397E-2</v>
      </c>
    </row>
    <row r="94" spans="1:19" x14ac:dyDescent="0.25">
      <c r="A94" t="s">
        <v>41</v>
      </c>
      <c r="B94">
        <v>103232.1</v>
      </c>
      <c r="C94">
        <v>95494.3</v>
      </c>
      <c r="D94">
        <v>138143</v>
      </c>
      <c r="E94">
        <v>3</v>
      </c>
      <c r="F94">
        <v>40</v>
      </c>
      <c r="G94">
        <v>122</v>
      </c>
      <c r="H94">
        <v>4</v>
      </c>
      <c r="I94">
        <v>128</v>
      </c>
      <c r="J94">
        <v>158</v>
      </c>
      <c r="K94">
        <v>1</v>
      </c>
      <c r="L94">
        <v>19004.7766745105</v>
      </c>
      <c r="M94">
        <v>1186.089217</v>
      </c>
      <c r="N94">
        <v>18444.806415556501</v>
      </c>
      <c r="O94">
        <v>1142.025128</v>
      </c>
      <c r="P94">
        <v>1</v>
      </c>
      <c r="Q94">
        <v>0</v>
      </c>
      <c r="R94">
        <v>0</v>
      </c>
      <c r="S94">
        <v>-5.4373517447338697E-2</v>
      </c>
    </row>
    <row r="95" spans="1:19" x14ac:dyDescent="0.25">
      <c r="A95" t="s">
        <v>42</v>
      </c>
      <c r="B95">
        <v>115208.2</v>
      </c>
      <c r="C95">
        <v>38757.800000000003</v>
      </c>
      <c r="D95">
        <v>138143</v>
      </c>
      <c r="E95">
        <v>3</v>
      </c>
      <c r="F95">
        <v>40</v>
      </c>
      <c r="G95">
        <v>127</v>
      </c>
      <c r="H95">
        <v>5</v>
      </c>
      <c r="I95">
        <v>138</v>
      </c>
      <c r="J95">
        <v>168</v>
      </c>
      <c r="K95">
        <v>1</v>
      </c>
      <c r="L95">
        <v>24817.480132713601</v>
      </c>
      <c r="M95">
        <v>504.33429699999999</v>
      </c>
      <c r="N95">
        <v>24543.3070306277</v>
      </c>
      <c r="O95">
        <v>468.78203600000001</v>
      </c>
      <c r="P95">
        <v>161</v>
      </c>
      <c r="Q95">
        <v>0</v>
      </c>
      <c r="R95">
        <v>0</v>
      </c>
      <c r="S95">
        <v>-4.4955881413040397E-2</v>
      </c>
    </row>
    <row r="96" spans="1:19" x14ac:dyDescent="0.25">
      <c r="A96" t="s">
        <v>43</v>
      </c>
      <c r="B96">
        <v>64774</v>
      </c>
      <c r="C96">
        <v>100465.60000000001</v>
      </c>
      <c r="D96">
        <v>138143</v>
      </c>
      <c r="E96">
        <v>3</v>
      </c>
      <c r="F96">
        <v>40</v>
      </c>
      <c r="G96">
        <v>94</v>
      </c>
      <c r="H96">
        <v>7</v>
      </c>
      <c r="I96">
        <v>102</v>
      </c>
      <c r="J96">
        <v>102</v>
      </c>
      <c r="K96">
        <v>4</v>
      </c>
      <c r="L96">
        <v>3294.5665410660899</v>
      </c>
      <c r="M96">
        <v>320.90756099999999</v>
      </c>
      <c r="N96">
        <v>3294.5665410660899</v>
      </c>
      <c r="O96">
        <v>320.90756099999999</v>
      </c>
      <c r="P96">
        <v>12</v>
      </c>
      <c r="Q96">
        <v>0</v>
      </c>
      <c r="R96">
        <v>0</v>
      </c>
      <c r="S96">
        <v>0</v>
      </c>
    </row>
    <row r="97" spans="1:19" x14ac:dyDescent="0.25">
      <c r="A97" t="s">
        <v>43</v>
      </c>
      <c r="B97">
        <v>64774</v>
      </c>
      <c r="C97">
        <v>100465.60000000001</v>
      </c>
      <c r="D97">
        <v>138143</v>
      </c>
      <c r="E97">
        <v>3</v>
      </c>
      <c r="F97">
        <v>40</v>
      </c>
      <c r="G97">
        <v>94</v>
      </c>
      <c r="H97">
        <v>7</v>
      </c>
      <c r="I97">
        <v>102</v>
      </c>
      <c r="J97">
        <v>132</v>
      </c>
      <c r="K97">
        <v>4</v>
      </c>
      <c r="L97">
        <v>3294.5665410660899</v>
      </c>
      <c r="M97">
        <v>320.90756099999999</v>
      </c>
      <c r="N97">
        <v>3169.3930749388601</v>
      </c>
      <c r="O97">
        <v>340.85575999999998</v>
      </c>
      <c r="P97">
        <v>1</v>
      </c>
      <c r="Q97">
        <v>4.4815873626537998E-3</v>
      </c>
      <c r="R97">
        <v>1.7918495264116999E-2</v>
      </c>
      <c r="S97">
        <v>-4.4815873626537998E-3</v>
      </c>
    </row>
    <row r="98" spans="1:19" x14ac:dyDescent="0.25">
      <c r="A98" t="s">
        <v>43</v>
      </c>
      <c r="B98">
        <v>64774</v>
      </c>
      <c r="C98">
        <v>100465.60000000001</v>
      </c>
      <c r="D98">
        <v>138143</v>
      </c>
      <c r="E98">
        <v>3</v>
      </c>
      <c r="F98">
        <v>40</v>
      </c>
      <c r="G98">
        <v>94</v>
      </c>
      <c r="H98">
        <v>7</v>
      </c>
      <c r="I98">
        <v>102</v>
      </c>
      <c r="J98">
        <v>118</v>
      </c>
      <c r="K98">
        <v>4</v>
      </c>
      <c r="L98">
        <v>3294.5665410660899</v>
      </c>
      <c r="M98">
        <v>320.90756099999999</v>
      </c>
      <c r="N98">
        <v>2668.4009771060901</v>
      </c>
      <c r="O98">
        <v>342.814583999999</v>
      </c>
      <c r="P98">
        <v>1</v>
      </c>
      <c r="Q98">
        <v>1.7937027102491399E-2</v>
      </c>
      <c r="R98">
        <v>1.75951616320035E-3</v>
      </c>
      <c r="S98">
        <v>-4.5001192010282604E-3</v>
      </c>
    </row>
    <row r="99" spans="1:19" x14ac:dyDescent="0.25">
      <c r="A99" t="s">
        <v>43</v>
      </c>
      <c r="B99">
        <v>64774</v>
      </c>
      <c r="C99">
        <v>100465.60000000001</v>
      </c>
      <c r="D99">
        <v>138143</v>
      </c>
      <c r="E99">
        <v>3</v>
      </c>
      <c r="F99">
        <v>40</v>
      </c>
      <c r="G99">
        <v>94</v>
      </c>
      <c r="H99">
        <v>7</v>
      </c>
      <c r="I99">
        <v>102</v>
      </c>
      <c r="J99">
        <v>122</v>
      </c>
      <c r="K99">
        <v>4</v>
      </c>
      <c r="L99">
        <v>3294.5665410660899</v>
      </c>
      <c r="M99">
        <v>320.90756099999999</v>
      </c>
      <c r="N99">
        <v>2252.04926483486</v>
      </c>
      <c r="O99">
        <v>348.836949</v>
      </c>
      <c r="P99">
        <v>1</v>
      </c>
      <c r="Q99">
        <v>1.4906646191594101E-2</v>
      </c>
      <c r="R99">
        <v>5.4095970634384597E-3</v>
      </c>
      <c r="S99">
        <v>-1.7647249229421999E-2</v>
      </c>
    </row>
    <row r="100" spans="1:19" x14ac:dyDescent="0.25">
      <c r="A100" t="s">
        <v>44</v>
      </c>
      <c r="B100">
        <v>95065.9</v>
      </c>
      <c r="C100">
        <v>1.1000000000000001</v>
      </c>
      <c r="D100">
        <v>138143</v>
      </c>
      <c r="E100">
        <v>3</v>
      </c>
      <c r="F100">
        <v>40</v>
      </c>
      <c r="G100">
        <v>109</v>
      </c>
      <c r="H100">
        <v>5</v>
      </c>
      <c r="I100">
        <v>134</v>
      </c>
      <c r="J100">
        <v>130</v>
      </c>
      <c r="K100">
        <v>1</v>
      </c>
      <c r="L100">
        <v>9801.9939320690792</v>
      </c>
      <c r="M100">
        <v>1135.667342</v>
      </c>
      <c r="N100">
        <v>9801.9939320690792</v>
      </c>
      <c r="O100">
        <v>1122.2454540000001</v>
      </c>
      <c r="P100">
        <v>1</v>
      </c>
      <c r="Q100">
        <v>0</v>
      </c>
      <c r="R100">
        <v>0</v>
      </c>
      <c r="S100">
        <v>-1.2190989733424199E-2</v>
      </c>
    </row>
    <row r="101" spans="1:19" x14ac:dyDescent="0.25">
      <c r="A101" t="s">
        <v>45</v>
      </c>
      <c r="B101">
        <v>102909.1</v>
      </c>
      <c r="C101">
        <v>81806</v>
      </c>
      <c r="D101">
        <v>138143</v>
      </c>
      <c r="E101">
        <v>3</v>
      </c>
      <c r="F101">
        <v>40</v>
      </c>
      <c r="G101">
        <v>138</v>
      </c>
      <c r="H101">
        <v>4</v>
      </c>
      <c r="I101">
        <v>152</v>
      </c>
      <c r="J101">
        <v>152</v>
      </c>
      <c r="K101">
        <v>3</v>
      </c>
      <c r="L101">
        <v>5915.07614943098</v>
      </c>
      <c r="M101">
        <v>208.684753</v>
      </c>
      <c r="N101">
        <v>5915.07614943098</v>
      </c>
      <c r="O101">
        <v>208.684753</v>
      </c>
      <c r="P101">
        <v>6</v>
      </c>
      <c r="Q101">
        <v>0</v>
      </c>
      <c r="R101">
        <v>0</v>
      </c>
      <c r="S101">
        <v>0</v>
      </c>
    </row>
    <row r="102" spans="1:19" x14ac:dyDescent="0.25">
      <c r="A102" t="s">
        <v>45</v>
      </c>
      <c r="B102">
        <v>102909.1</v>
      </c>
      <c r="C102">
        <v>81806</v>
      </c>
      <c r="D102">
        <v>138143</v>
      </c>
      <c r="E102">
        <v>3</v>
      </c>
      <c r="F102">
        <v>40</v>
      </c>
      <c r="G102">
        <v>138</v>
      </c>
      <c r="H102">
        <v>4</v>
      </c>
      <c r="I102">
        <v>152</v>
      </c>
      <c r="J102">
        <v>172</v>
      </c>
      <c r="K102">
        <v>3</v>
      </c>
      <c r="L102">
        <v>5915.07614943098</v>
      </c>
      <c r="M102">
        <v>208.684753</v>
      </c>
      <c r="N102">
        <v>5254.4342156411703</v>
      </c>
      <c r="O102">
        <v>228.86631800000001</v>
      </c>
      <c r="P102">
        <v>1</v>
      </c>
      <c r="Q102">
        <v>2.4022332440479501E-2</v>
      </c>
      <c r="R102">
        <v>1.5004687407911201E-2</v>
      </c>
      <c r="S102">
        <v>-2.4022332440479501E-2</v>
      </c>
    </row>
    <row r="103" spans="1:19" x14ac:dyDescent="0.25">
      <c r="A103" t="s">
        <v>45</v>
      </c>
      <c r="B103">
        <v>102909.1</v>
      </c>
      <c r="C103">
        <v>81806</v>
      </c>
      <c r="D103">
        <v>138143</v>
      </c>
      <c r="E103">
        <v>3</v>
      </c>
      <c r="F103">
        <v>40</v>
      </c>
      <c r="G103">
        <v>138</v>
      </c>
      <c r="H103">
        <v>4</v>
      </c>
      <c r="I103">
        <v>152</v>
      </c>
      <c r="J103">
        <v>166</v>
      </c>
      <c r="K103">
        <v>3</v>
      </c>
      <c r="L103">
        <v>5915.07614943098</v>
      </c>
      <c r="M103">
        <v>208.684753</v>
      </c>
      <c r="N103">
        <v>4641.4175967339697</v>
      </c>
      <c r="O103">
        <v>235.120262</v>
      </c>
      <c r="P103">
        <v>1</v>
      </c>
      <c r="Q103">
        <v>2.2290575662447399E-2</v>
      </c>
      <c r="R103">
        <v>4.6497124869445102E-3</v>
      </c>
      <c r="S103">
        <v>-3.1308220695015702E-2</v>
      </c>
    </row>
    <row r="104" spans="1:19" x14ac:dyDescent="0.25">
      <c r="A104" t="s">
        <v>46</v>
      </c>
      <c r="B104">
        <v>153785.79999999999</v>
      </c>
      <c r="C104">
        <v>69603.3</v>
      </c>
      <c r="D104">
        <v>138143</v>
      </c>
      <c r="E104">
        <v>3</v>
      </c>
      <c r="F104">
        <v>40</v>
      </c>
      <c r="G104">
        <v>168</v>
      </c>
      <c r="H104">
        <v>5</v>
      </c>
      <c r="I104">
        <v>188</v>
      </c>
      <c r="J104">
        <v>198</v>
      </c>
      <c r="K104">
        <v>1</v>
      </c>
      <c r="L104">
        <v>8451.1254937522099</v>
      </c>
      <c r="M104">
        <v>1806.4696819999999</v>
      </c>
      <c r="N104">
        <v>8304.1290837010893</v>
      </c>
      <c r="O104">
        <v>1777.608669</v>
      </c>
      <c r="P104">
        <v>2</v>
      </c>
      <c r="Q104">
        <v>0</v>
      </c>
      <c r="R104">
        <v>0</v>
      </c>
      <c r="S104">
        <v>-2.1559136088936701E-2</v>
      </c>
    </row>
    <row r="105" spans="1:19" x14ac:dyDescent="0.25">
      <c r="A105" t="s">
        <v>47</v>
      </c>
      <c r="B105">
        <v>133578.1</v>
      </c>
      <c r="C105">
        <v>81924.899999999994</v>
      </c>
      <c r="D105">
        <v>138143</v>
      </c>
      <c r="E105">
        <v>3</v>
      </c>
      <c r="F105">
        <v>40</v>
      </c>
      <c r="G105">
        <v>150</v>
      </c>
      <c r="H105">
        <v>5</v>
      </c>
      <c r="I105">
        <v>166</v>
      </c>
      <c r="J105">
        <v>208</v>
      </c>
      <c r="K105">
        <v>1</v>
      </c>
      <c r="L105">
        <v>9618.2180998358908</v>
      </c>
      <c r="M105">
        <v>795.76554399999895</v>
      </c>
      <c r="N105">
        <v>9618.2180998358908</v>
      </c>
      <c r="O105">
        <v>782.35555199999897</v>
      </c>
      <c r="P105">
        <v>86</v>
      </c>
      <c r="Q105">
        <v>0</v>
      </c>
      <c r="R105">
        <v>0</v>
      </c>
      <c r="S105">
        <v>-9.0442468621464399E-3</v>
      </c>
    </row>
    <row r="106" spans="1:19" x14ac:dyDescent="0.25">
      <c r="A106" t="s">
        <v>48</v>
      </c>
      <c r="B106">
        <v>71628.800000000003</v>
      </c>
      <c r="C106">
        <v>63349.4</v>
      </c>
      <c r="D106">
        <v>138143</v>
      </c>
      <c r="E106">
        <v>3</v>
      </c>
      <c r="F106">
        <v>40</v>
      </c>
      <c r="G106">
        <v>98</v>
      </c>
      <c r="H106">
        <v>5</v>
      </c>
      <c r="I106">
        <v>88</v>
      </c>
      <c r="J106">
        <v>92</v>
      </c>
      <c r="K106">
        <v>3</v>
      </c>
      <c r="L106">
        <v>9037.4940381216893</v>
      </c>
      <c r="M106">
        <v>160.40758500000001</v>
      </c>
      <c r="N106">
        <v>9037.4940381216893</v>
      </c>
      <c r="O106">
        <v>158.43341799999999</v>
      </c>
      <c r="P106">
        <v>1</v>
      </c>
      <c r="Q106">
        <v>0</v>
      </c>
      <c r="R106">
        <v>0</v>
      </c>
      <c r="S106">
        <v>-2.07568553741413E-3</v>
      </c>
    </row>
    <row r="107" spans="1:19" x14ac:dyDescent="0.25">
      <c r="A107" t="s">
        <v>48</v>
      </c>
      <c r="B107">
        <v>71628.800000000003</v>
      </c>
      <c r="C107">
        <v>63349.4</v>
      </c>
      <c r="D107">
        <v>138143</v>
      </c>
      <c r="E107">
        <v>3</v>
      </c>
      <c r="F107">
        <v>40</v>
      </c>
      <c r="G107">
        <v>98</v>
      </c>
      <c r="H107">
        <v>5</v>
      </c>
      <c r="I107">
        <v>88</v>
      </c>
      <c r="J107">
        <v>128</v>
      </c>
      <c r="K107">
        <v>3</v>
      </c>
      <c r="L107">
        <v>9037.4940381216893</v>
      </c>
      <c r="M107">
        <v>160.40758500000001</v>
      </c>
      <c r="N107">
        <v>8896.4092072554795</v>
      </c>
      <c r="O107">
        <v>164.80063399999901</v>
      </c>
      <c r="P107">
        <v>4</v>
      </c>
      <c r="Q107">
        <v>5.05085516880871E-3</v>
      </c>
      <c r="R107">
        <v>6.6946404051894601E-3</v>
      </c>
      <c r="S107">
        <v>-7.1265407062228404E-3</v>
      </c>
    </row>
    <row r="108" spans="1:19" x14ac:dyDescent="0.25">
      <c r="A108" t="s">
        <v>48</v>
      </c>
      <c r="B108">
        <v>71628.800000000003</v>
      </c>
      <c r="C108">
        <v>63349.4</v>
      </c>
      <c r="D108">
        <v>138143</v>
      </c>
      <c r="E108">
        <v>3</v>
      </c>
      <c r="F108">
        <v>40</v>
      </c>
      <c r="G108">
        <v>98</v>
      </c>
      <c r="H108">
        <v>5</v>
      </c>
      <c r="I108">
        <v>88</v>
      </c>
      <c r="J108">
        <v>106</v>
      </c>
      <c r="K108">
        <v>3</v>
      </c>
      <c r="L108">
        <v>9037.4940381216893</v>
      </c>
      <c r="M108">
        <v>160.40758500000001</v>
      </c>
      <c r="N108">
        <v>8797.0648521002095</v>
      </c>
      <c r="O108">
        <v>167.205252</v>
      </c>
      <c r="P108">
        <v>9</v>
      </c>
      <c r="Q108">
        <v>3.5565407467784602E-3</v>
      </c>
      <c r="R108">
        <v>2.5282718258413301E-3</v>
      </c>
      <c r="S108">
        <v>-3.9884410478118401E-3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P3_40_summary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2026-09-09T08:45:47Z</dcterms:created>
  <dcterms:modified xsi:type="dcterms:W3CDTF">2026-09-09T08:45:48Z</dcterms:modified>
</cp:coreProperties>
</file>