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860846B2-B95D-4ADF-8B3E-B1DAA1B92D5D}" xr6:coauthVersionLast="47" xr6:coauthVersionMax="47" xr10:uidLastSave="{00000000-0000-0000-0000-000000000000}"/>
  <bookViews>
    <workbookView xWindow="-120" yWindow="-120" windowWidth="29040" windowHeight="15840" xr2:uid="{B51CC72A-C838-45A7-B6C1-5A0921C69847}"/>
  </bookViews>
  <sheets>
    <sheet name="P3_20_summary" sheetId="1" r:id="rId1"/>
  </sheets>
  <calcPr calcId="0"/>
</workbook>
</file>

<file path=xl/calcChain.xml><?xml version="1.0" encoding="utf-8"?>
<calcChain xmlns="http://schemas.openxmlformats.org/spreadsheetml/2006/main">
  <c r="AA2" i="1" l="1"/>
  <c r="Z2" i="1"/>
  <c r="Y2" i="1"/>
  <c r="X2" i="1"/>
  <c r="W2" i="1"/>
  <c r="V2" i="1"/>
</calcChain>
</file>

<file path=xl/sharedStrings.xml><?xml version="1.0" encoding="utf-8"?>
<sst xmlns="http://schemas.openxmlformats.org/spreadsheetml/2006/main" count="55" uniqueCount="55">
  <si>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</si>
  <si>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</si>
  <si>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</si>
  <si>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</si>
  <si>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</si>
  <si>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</si>
  <si>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</si>
  <si>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</si>
  <si>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</si>
  <si>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</si>
  <si>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</si>
  <si>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</si>
  <si>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</si>
  <si>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</si>
  <si>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</si>
  <si>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</si>
  <si>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</si>
  <si>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</si>
  <si>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</si>
  <si>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P3_20_1</t>
  </si>
  <si>
    <t>P3_20_10</t>
  </si>
  <si>
    <t>P3_20_11</t>
  </si>
  <si>
    <t>P3_20_12</t>
  </si>
  <si>
    <t>P3_20_13</t>
  </si>
  <si>
    <t>P3_20_14</t>
  </si>
  <si>
    <t>P3_20_15</t>
  </si>
  <si>
    <t>P3_20_16</t>
  </si>
  <si>
    <t>P3_20_17</t>
  </si>
  <si>
    <t>P3_20_18</t>
  </si>
  <si>
    <t>P3_20_19</t>
  </si>
  <si>
    <t>P3_20_2</t>
  </si>
  <si>
    <t>P3_20_20</t>
  </si>
  <si>
    <t>P3_20_21</t>
  </si>
  <si>
    <t>P3_20_22</t>
  </si>
  <si>
    <t>P3_20_23</t>
  </si>
  <si>
    <t>P3_20_24</t>
  </si>
  <si>
    <t>P3_20_25</t>
  </si>
  <si>
    <t>P3_20_26</t>
  </si>
  <si>
    <t>P3_20_27</t>
  </si>
  <si>
    <t>P3_20_28</t>
  </si>
  <si>
    <t>P3_20_29</t>
  </si>
  <si>
    <t>P3_20_3</t>
  </si>
  <si>
    <t>P3_20_30</t>
  </si>
  <si>
    <t>P3_20_4</t>
  </si>
  <si>
    <t>P3_20_5</t>
  </si>
  <si>
    <t>P3_20_6</t>
  </si>
  <si>
    <t>P3_20_7</t>
  </si>
  <si>
    <t>P3_20_8</t>
  </si>
  <si>
    <t>P3_20_9</t>
  </si>
  <si>
    <t>Two solutions (%)</t>
  </si>
  <si>
    <t>Three or more solutions (%)</t>
  </si>
  <si>
    <t>Max number solutions</t>
  </si>
  <si>
    <t>Average execution time (ms)</t>
  </si>
  <si>
    <t>Standard deviation execution time (ms)</t>
  </si>
  <si>
    <t>Average stabilising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</si>
</sst>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6F56-D1C2-4A72-BEC7-BEDECFD6A310}">
  <dimension ref="A1:AA31"/>
  <sheetViews>
    <sheetView tabSelected="1" topLeftCell="J1" workbookViewId="0">
      <selection activeCell="W4" sqref="W4"/>
    </sheetView>
  </sheetViews>
  <sheetFormatPr defaultRowHeight="15" x14ac:dyDescent="0.25"/>
  <cols>
    <col min="22" max="22" width="16.85546875" bestFit="1" customWidth="1"/>
    <col min="23" max="23" width="25.85546875" bestFit="1" customWidth="1"/>
    <col min="24" max="24" width="20.85546875" bestFit="1" customWidth="1"/>
    <col min="25" max="25" width="26.140625" bestFit="1" customWidth="1"/>
    <col min="26" max="26" width="36.140625" bestFit="1" customWidth="1"/>
    <col min="27" max="27" width="2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10337.9</v>
      </c>
      <c r="C2">
        <v>104774.1</v>
      </c>
      <c r="D2">
        <v>138143</v>
      </c>
      <c r="E2">
        <v>3</v>
      </c>
      <c r="F2">
        <v>20</v>
      </c>
      <c r="G2">
        <v>26</v>
      </c>
      <c r="H2">
        <v>2</v>
      </c>
      <c r="I2">
        <v>16</v>
      </c>
      <c r="J2">
        <v>24</v>
      </c>
      <c r="K2">
        <v>2</v>
      </c>
      <c r="L2">
        <v>3362.5590967416301</v>
      </c>
      <c r="M2">
        <v>63.846218999999998</v>
      </c>
      <c r="N2">
        <v>2226.46338073488</v>
      </c>
      <c r="O2">
        <v>41.072147000000001</v>
      </c>
      <c r="P2">
        <v>2</v>
      </c>
      <c r="Q2">
        <v>0</v>
      </c>
      <c r="R2">
        <v>0</v>
      </c>
      <c r="S2">
        <v>-0.10693889786050401</v>
      </c>
      <c r="V2">
        <f>COUNTIF($K2:$K31,2)/30</f>
        <v>0.43333333333333335</v>
      </c>
      <c r="W2">
        <f>COUNTIF($K2:$K31,"&gt;2")/30</f>
        <v>0.23333333333333334</v>
      </c>
      <c r="X2">
        <f>LARGE($K2:$K31,1)</f>
        <v>8</v>
      </c>
      <c r="Y2">
        <f>SUM($B2:$B31)/30</f>
        <v>11274.673333333334</v>
      </c>
      <c r="Z2">
        <f>_xlfn.STDEV.P($B2:$B31)</f>
        <v>1255.1798975799707</v>
      </c>
      <c r="AA2">
        <f>SUM($C2:$C31)/30</f>
        <v>61635.619999999995</v>
      </c>
    </row>
    <row r="3" spans="1:27" x14ac:dyDescent="0.25">
      <c r="A3" t="s">
        <v>20</v>
      </c>
      <c r="B3">
        <v>12583.2</v>
      </c>
      <c r="C3">
        <v>85770.8</v>
      </c>
      <c r="D3">
        <v>138143</v>
      </c>
      <c r="E3">
        <v>3</v>
      </c>
      <c r="F3">
        <v>20</v>
      </c>
      <c r="G3">
        <v>33</v>
      </c>
      <c r="H3">
        <v>1</v>
      </c>
      <c r="I3">
        <v>32</v>
      </c>
      <c r="J3">
        <v>38</v>
      </c>
      <c r="K3">
        <v>2</v>
      </c>
      <c r="L3">
        <v>7336.7135530156402</v>
      </c>
      <c r="M3">
        <v>187.559076</v>
      </c>
      <c r="N3">
        <v>7336.7135530156402</v>
      </c>
      <c r="O3">
        <v>169.511674</v>
      </c>
      <c r="P3">
        <v>2</v>
      </c>
      <c r="Q3">
        <v>0</v>
      </c>
      <c r="R3">
        <v>0</v>
      </c>
      <c r="S3">
        <v>-4.1307608860296802E-2</v>
      </c>
    </row>
    <row r="4" spans="1:27" x14ac:dyDescent="0.25">
      <c r="A4" t="s">
        <v>21</v>
      </c>
      <c r="B4">
        <v>11983.4</v>
      </c>
      <c r="C4">
        <v>87765.6</v>
      </c>
      <c r="D4">
        <v>138143</v>
      </c>
      <c r="E4">
        <v>3</v>
      </c>
      <c r="F4">
        <v>20</v>
      </c>
      <c r="G4">
        <v>31</v>
      </c>
      <c r="H4">
        <v>2</v>
      </c>
      <c r="I4">
        <v>16</v>
      </c>
      <c r="J4">
        <v>26</v>
      </c>
      <c r="K4">
        <v>1</v>
      </c>
      <c r="L4">
        <v>4022.7307468245599</v>
      </c>
      <c r="M4">
        <v>32.188504000000002</v>
      </c>
      <c r="N4">
        <v>3320.0932574032399</v>
      </c>
      <c r="O4">
        <v>15.861141</v>
      </c>
      <c r="P4">
        <v>1</v>
      </c>
      <c r="Q4">
        <v>0</v>
      </c>
      <c r="R4">
        <v>0</v>
      </c>
      <c r="S4">
        <v>-7.1491145077866095E-2</v>
      </c>
    </row>
    <row r="5" spans="1:27" x14ac:dyDescent="0.25">
      <c r="A5" t="s">
        <v>22</v>
      </c>
      <c r="B5">
        <v>11222.4</v>
      </c>
      <c r="C5">
        <v>1</v>
      </c>
      <c r="D5">
        <v>138143</v>
      </c>
      <c r="E5">
        <v>3</v>
      </c>
      <c r="F5">
        <v>20</v>
      </c>
      <c r="G5">
        <v>30</v>
      </c>
      <c r="H5">
        <v>1</v>
      </c>
      <c r="I5">
        <v>22</v>
      </c>
      <c r="J5">
        <v>22</v>
      </c>
      <c r="K5">
        <v>1</v>
      </c>
      <c r="L5">
        <v>3587.1935601564201</v>
      </c>
      <c r="M5">
        <v>153.752228</v>
      </c>
      <c r="N5">
        <v>3587.1935601564201</v>
      </c>
      <c r="O5">
        <v>153.752228</v>
      </c>
      <c r="P5">
        <v>2</v>
      </c>
      <c r="Q5">
        <v>0</v>
      </c>
      <c r="R5">
        <v>0</v>
      </c>
      <c r="S5">
        <v>0</v>
      </c>
    </row>
    <row r="6" spans="1:27" x14ac:dyDescent="0.25">
      <c r="A6" t="s">
        <v>23</v>
      </c>
      <c r="B6">
        <v>13027.4</v>
      </c>
      <c r="C6">
        <v>1</v>
      </c>
      <c r="D6">
        <v>138143</v>
      </c>
      <c r="E6">
        <v>3</v>
      </c>
      <c r="F6">
        <v>20</v>
      </c>
      <c r="G6">
        <v>28</v>
      </c>
      <c r="H6">
        <v>3</v>
      </c>
      <c r="I6">
        <v>24</v>
      </c>
      <c r="J6">
        <v>24</v>
      </c>
      <c r="K6">
        <v>1</v>
      </c>
      <c r="L6">
        <v>0</v>
      </c>
      <c r="M6">
        <v>0</v>
      </c>
      <c r="N6">
        <v>0</v>
      </c>
      <c r="O6">
        <v>0</v>
      </c>
      <c r="P6">
        <v>49207</v>
      </c>
      <c r="Q6">
        <v>0</v>
      </c>
      <c r="R6">
        <v>0</v>
      </c>
      <c r="S6">
        <v>0</v>
      </c>
    </row>
    <row r="7" spans="1:27" x14ac:dyDescent="0.25">
      <c r="A7" t="s">
        <v>24</v>
      </c>
      <c r="B7">
        <v>11464.1</v>
      </c>
      <c r="C7">
        <v>105402.1</v>
      </c>
      <c r="D7">
        <v>138143</v>
      </c>
      <c r="E7">
        <v>3</v>
      </c>
      <c r="F7">
        <v>20</v>
      </c>
      <c r="G7">
        <v>29</v>
      </c>
      <c r="H7">
        <v>1</v>
      </c>
      <c r="I7">
        <v>24</v>
      </c>
      <c r="J7">
        <v>22</v>
      </c>
      <c r="K7">
        <v>8</v>
      </c>
      <c r="L7">
        <v>10425.4965161489</v>
      </c>
      <c r="M7">
        <v>184.73197599999901</v>
      </c>
      <c r="N7">
        <v>11796.378242975799</v>
      </c>
      <c r="O7">
        <v>167.82898299999999</v>
      </c>
      <c r="P7">
        <v>1</v>
      </c>
      <c r="Q7">
        <v>0</v>
      </c>
      <c r="R7">
        <v>0</v>
      </c>
      <c r="S7">
        <v>8.4104619495647907E-3</v>
      </c>
    </row>
    <row r="8" spans="1:27" x14ac:dyDescent="0.25">
      <c r="A8" t="s">
        <v>25</v>
      </c>
      <c r="B8">
        <v>9552.6</v>
      </c>
      <c r="C8">
        <v>91942.9</v>
      </c>
      <c r="D8">
        <v>138143</v>
      </c>
      <c r="E8">
        <v>3</v>
      </c>
      <c r="F8">
        <v>20</v>
      </c>
      <c r="G8">
        <v>25</v>
      </c>
      <c r="H8">
        <v>1</v>
      </c>
      <c r="I8">
        <v>12</v>
      </c>
      <c r="J8">
        <v>12</v>
      </c>
      <c r="K8">
        <v>4</v>
      </c>
      <c r="L8">
        <v>3310.5294323400899</v>
      </c>
      <c r="M8">
        <v>86.872310999999996</v>
      </c>
      <c r="N8">
        <v>3310.5294323400899</v>
      </c>
      <c r="O8">
        <v>86.872310999999996</v>
      </c>
      <c r="P8">
        <v>2</v>
      </c>
      <c r="Q8">
        <v>0</v>
      </c>
      <c r="R8">
        <v>0</v>
      </c>
      <c r="S8">
        <v>0</v>
      </c>
    </row>
    <row r="9" spans="1:27" x14ac:dyDescent="0.25">
      <c r="A9" t="s">
        <v>26</v>
      </c>
      <c r="B9">
        <v>10276.6</v>
      </c>
      <c r="C9">
        <v>81561.3</v>
      </c>
      <c r="D9">
        <v>138143</v>
      </c>
      <c r="E9">
        <v>3</v>
      </c>
      <c r="F9">
        <v>20</v>
      </c>
      <c r="G9">
        <v>26</v>
      </c>
      <c r="H9">
        <v>1</v>
      </c>
      <c r="I9">
        <v>12</v>
      </c>
      <c r="J9">
        <v>12</v>
      </c>
      <c r="K9">
        <v>4</v>
      </c>
      <c r="L9">
        <v>7439.3432399870999</v>
      </c>
      <c r="M9">
        <v>85.351033999999999</v>
      </c>
      <c r="N9">
        <v>7439.3432399870999</v>
      </c>
      <c r="O9">
        <v>85.351033999999999</v>
      </c>
      <c r="P9">
        <v>2</v>
      </c>
      <c r="Q9">
        <v>0</v>
      </c>
      <c r="R9">
        <v>0</v>
      </c>
      <c r="S9">
        <v>0</v>
      </c>
    </row>
    <row r="10" spans="1:27" x14ac:dyDescent="0.25">
      <c r="A10" t="s">
        <v>27</v>
      </c>
      <c r="B10">
        <v>10700.6</v>
      </c>
      <c r="C10">
        <v>89366.6</v>
      </c>
      <c r="D10">
        <v>138143</v>
      </c>
      <c r="E10">
        <v>3</v>
      </c>
      <c r="F10">
        <v>20</v>
      </c>
      <c r="G10">
        <v>27</v>
      </c>
      <c r="H10">
        <v>2</v>
      </c>
      <c r="I10">
        <v>16</v>
      </c>
      <c r="J10">
        <v>16</v>
      </c>
      <c r="K10">
        <v>2</v>
      </c>
      <c r="L10">
        <v>4328.4936926160399</v>
      </c>
      <c r="M10">
        <v>123.69091599999901</v>
      </c>
      <c r="N10">
        <v>4328.4936926160399</v>
      </c>
      <c r="O10">
        <v>123.69091599999901</v>
      </c>
      <c r="P10">
        <v>2</v>
      </c>
      <c r="Q10">
        <v>0</v>
      </c>
      <c r="R10">
        <v>0</v>
      </c>
      <c r="S10">
        <v>0</v>
      </c>
    </row>
    <row r="11" spans="1:27" x14ac:dyDescent="0.25">
      <c r="A11" t="s">
        <v>28</v>
      </c>
      <c r="B11">
        <v>11590.1</v>
      </c>
      <c r="C11">
        <v>87382.7</v>
      </c>
      <c r="D11">
        <v>138143</v>
      </c>
      <c r="E11">
        <v>3</v>
      </c>
      <c r="F11">
        <v>20</v>
      </c>
      <c r="G11">
        <v>30</v>
      </c>
      <c r="H11">
        <v>1</v>
      </c>
      <c r="I11">
        <v>24</v>
      </c>
      <c r="J11">
        <v>18</v>
      </c>
      <c r="K11">
        <v>1</v>
      </c>
      <c r="L11">
        <v>5869.5486383991001</v>
      </c>
      <c r="M11">
        <v>175.59253200000001</v>
      </c>
      <c r="N11">
        <v>3110.0454411179398</v>
      </c>
      <c r="O11">
        <v>164.76931400000001</v>
      </c>
      <c r="P11">
        <v>1</v>
      </c>
      <c r="Q11">
        <v>0</v>
      </c>
      <c r="R11">
        <v>0</v>
      </c>
      <c r="S11">
        <v>-0.12557687982878299</v>
      </c>
    </row>
    <row r="12" spans="1:27" x14ac:dyDescent="0.25">
      <c r="A12" t="s">
        <v>29</v>
      </c>
      <c r="B12">
        <v>9151.2999999999993</v>
      </c>
      <c r="C12">
        <v>1</v>
      </c>
      <c r="D12">
        <v>138143</v>
      </c>
      <c r="E12">
        <v>3</v>
      </c>
      <c r="F12">
        <v>20</v>
      </c>
      <c r="G12">
        <v>23</v>
      </c>
      <c r="H12">
        <v>2</v>
      </c>
      <c r="I12">
        <v>8</v>
      </c>
      <c r="J12">
        <v>8</v>
      </c>
      <c r="K12">
        <v>1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  <c r="R12">
        <v>0</v>
      </c>
      <c r="S12">
        <v>0</v>
      </c>
    </row>
    <row r="13" spans="1:27" x14ac:dyDescent="0.25">
      <c r="A13" t="s">
        <v>30</v>
      </c>
      <c r="B13">
        <v>14499.2</v>
      </c>
      <c r="C13">
        <v>902.9</v>
      </c>
      <c r="D13">
        <v>138143</v>
      </c>
      <c r="E13">
        <v>3</v>
      </c>
      <c r="F13">
        <v>20</v>
      </c>
      <c r="G13">
        <v>31</v>
      </c>
      <c r="H13">
        <v>2</v>
      </c>
      <c r="I13">
        <v>28</v>
      </c>
      <c r="J13">
        <v>46</v>
      </c>
      <c r="K13">
        <v>2</v>
      </c>
      <c r="L13">
        <v>3507.76397875357</v>
      </c>
      <c r="M13">
        <v>25.485223999999999</v>
      </c>
      <c r="N13">
        <v>3507.76397875357</v>
      </c>
      <c r="O13">
        <v>13.231275999999999</v>
      </c>
      <c r="P13">
        <v>6094</v>
      </c>
      <c r="Q13">
        <v>0</v>
      </c>
      <c r="R13">
        <v>0</v>
      </c>
      <c r="S13">
        <v>-3.2188718925684201E-2</v>
      </c>
    </row>
    <row r="14" spans="1:27" x14ac:dyDescent="0.25">
      <c r="A14" t="s">
        <v>31</v>
      </c>
      <c r="B14">
        <v>10371.1</v>
      </c>
      <c r="C14">
        <v>97580.2</v>
      </c>
      <c r="D14">
        <v>138143</v>
      </c>
      <c r="E14">
        <v>3</v>
      </c>
      <c r="F14">
        <v>20</v>
      </c>
      <c r="G14">
        <v>27</v>
      </c>
      <c r="H14">
        <v>2</v>
      </c>
      <c r="I14">
        <v>16</v>
      </c>
      <c r="J14">
        <v>18</v>
      </c>
      <c r="K14">
        <v>3</v>
      </c>
      <c r="L14">
        <v>3407.8195522358301</v>
      </c>
      <c r="M14">
        <v>61.889142</v>
      </c>
      <c r="N14">
        <v>3241.8374017349702</v>
      </c>
      <c r="O14">
        <v>59.236900999999897</v>
      </c>
      <c r="P14">
        <v>1</v>
      </c>
      <c r="Q14">
        <v>0</v>
      </c>
      <c r="R14">
        <v>0</v>
      </c>
      <c r="S14">
        <v>-1.5836292260936701E-2</v>
      </c>
    </row>
    <row r="15" spans="1:27" x14ac:dyDescent="0.25">
      <c r="A15" t="s">
        <v>32</v>
      </c>
      <c r="B15">
        <v>12221.9</v>
      </c>
      <c r="C15">
        <v>76032.5</v>
      </c>
      <c r="D15">
        <v>138143</v>
      </c>
      <c r="E15">
        <v>3</v>
      </c>
      <c r="F15">
        <v>20</v>
      </c>
      <c r="G15">
        <v>31</v>
      </c>
      <c r="H15">
        <v>2</v>
      </c>
      <c r="I15">
        <v>20</v>
      </c>
      <c r="J15">
        <v>20</v>
      </c>
      <c r="K15">
        <v>2</v>
      </c>
      <c r="L15">
        <v>4611.4049374916303</v>
      </c>
      <c r="M15">
        <v>113.866058</v>
      </c>
      <c r="N15">
        <v>4611.4049374916303</v>
      </c>
      <c r="O15">
        <v>113.866058</v>
      </c>
      <c r="P15">
        <v>1</v>
      </c>
      <c r="Q15">
        <v>0</v>
      </c>
      <c r="R15">
        <v>0</v>
      </c>
      <c r="S15">
        <v>0</v>
      </c>
    </row>
    <row r="16" spans="1:27" x14ac:dyDescent="0.25">
      <c r="A16" t="s">
        <v>33</v>
      </c>
      <c r="B16">
        <v>11163</v>
      </c>
      <c r="C16">
        <v>119032.8</v>
      </c>
      <c r="D16">
        <v>138143</v>
      </c>
      <c r="E16">
        <v>3</v>
      </c>
      <c r="F16">
        <v>20</v>
      </c>
      <c r="G16">
        <v>28</v>
      </c>
      <c r="H16">
        <v>3</v>
      </c>
      <c r="I16">
        <v>24</v>
      </c>
      <c r="J16">
        <v>22</v>
      </c>
      <c r="K16">
        <v>4</v>
      </c>
      <c r="L16">
        <v>7962.9603720007299</v>
      </c>
      <c r="M16">
        <v>94.654105000000001</v>
      </c>
      <c r="N16">
        <v>7993.5552787423603</v>
      </c>
      <c r="O16">
        <v>79.249264999999994</v>
      </c>
      <c r="P16">
        <v>2</v>
      </c>
      <c r="Q16">
        <v>0</v>
      </c>
      <c r="R16">
        <v>0</v>
      </c>
      <c r="S16">
        <v>-4.6011871361055702E-2</v>
      </c>
    </row>
    <row r="17" spans="1:19" x14ac:dyDescent="0.25">
      <c r="A17" t="s">
        <v>34</v>
      </c>
      <c r="B17">
        <v>11590.2</v>
      </c>
      <c r="C17">
        <v>106598.2</v>
      </c>
      <c r="D17">
        <v>138143</v>
      </c>
      <c r="E17">
        <v>3</v>
      </c>
      <c r="F17">
        <v>20</v>
      </c>
      <c r="G17">
        <v>28</v>
      </c>
      <c r="H17">
        <v>2</v>
      </c>
      <c r="I17">
        <v>24</v>
      </c>
      <c r="J17">
        <v>32</v>
      </c>
      <c r="K17">
        <v>2</v>
      </c>
      <c r="L17">
        <v>1776.0507975417499</v>
      </c>
      <c r="M17">
        <v>65.226170999999994</v>
      </c>
      <c r="N17">
        <v>1446.1755546664399</v>
      </c>
      <c r="O17">
        <v>44.711117999999999</v>
      </c>
      <c r="P17">
        <v>4</v>
      </c>
      <c r="Q17">
        <v>0</v>
      </c>
      <c r="R17">
        <v>0</v>
      </c>
      <c r="S17">
        <v>-6.6913844215947094E-2</v>
      </c>
    </row>
    <row r="18" spans="1:19" x14ac:dyDescent="0.25">
      <c r="A18" t="s">
        <v>35</v>
      </c>
      <c r="B18">
        <v>11970.2</v>
      </c>
      <c r="C18">
        <v>59830.2</v>
      </c>
      <c r="D18">
        <v>138143</v>
      </c>
      <c r="E18">
        <v>3</v>
      </c>
      <c r="F18">
        <v>20</v>
      </c>
      <c r="G18">
        <v>30</v>
      </c>
      <c r="H18">
        <v>2</v>
      </c>
      <c r="I18">
        <v>24</v>
      </c>
      <c r="J18">
        <v>24</v>
      </c>
      <c r="K18">
        <v>1</v>
      </c>
      <c r="L18">
        <v>4307.6604607870204</v>
      </c>
      <c r="M18">
        <v>149.70265599999999</v>
      </c>
      <c r="N18">
        <v>3556.0463819032102</v>
      </c>
      <c r="O18">
        <v>144.726913</v>
      </c>
      <c r="P18">
        <v>1</v>
      </c>
      <c r="Q18">
        <v>0</v>
      </c>
      <c r="R18">
        <v>0</v>
      </c>
      <c r="S18">
        <v>-4.26003889675012E-2</v>
      </c>
    </row>
    <row r="19" spans="1:19" x14ac:dyDescent="0.25">
      <c r="A19" t="s">
        <v>36</v>
      </c>
      <c r="B19">
        <v>12487.8</v>
      </c>
      <c r="C19">
        <v>109193.8</v>
      </c>
      <c r="D19">
        <v>138143</v>
      </c>
      <c r="E19">
        <v>3</v>
      </c>
      <c r="F19">
        <v>20</v>
      </c>
      <c r="G19">
        <v>31</v>
      </c>
      <c r="H19">
        <v>1</v>
      </c>
      <c r="I19">
        <v>30</v>
      </c>
      <c r="J19">
        <v>22</v>
      </c>
      <c r="K19">
        <v>2</v>
      </c>
      <c r="L19">
        <v>9295.6351006432596</v>
      </c>
      <c r="M19">
        <v>178.60384499999901</v>
      </c>
      <c r="N19">
        <v>7490.6769704856997</v>
      </c>
      <c r="O19">
        <v>157.372783</v>
      </c>
      <c r="P19">
        <v>1</v>
      </c>
      <c r="Q19">
        <v>0</v>
      </c>
      <c r="R19">
        <v>0</v>
      </c>
      <c r="S19">
        <v>-0.12360443128710399</v>
      </c>
    </row>
    <row r="20" spans="1:19" x14ac:dyDescent="0.25">
      <c r="A20" t="s">
        <v>37</v>
      </c>
      <c r="B20">
        <v>12453.8</v>
      </c>
      <c r="C20">
        <v>65702.7</v>
      </c>
      <c r="D20">
        <v>138143</v>
      </c>
      <c r="E20">
        <v>3</v>
      </c>
      <c r="F20">
        <v>20</v>
      </c>
      <c r="G20">
        <v>25</v>
      </c>
      <c r="H20">
        <v>3</v>
      </c>
      <c r="I20">
        <v>16</v>
      </c>
      <c r="J20">
        <v>20</v>
      </c>
      <c r="K20">
        <v>2</v>
      </c>
      <c r="L20">
        <v>3630.8041964959598</v>
      </c>
      <c r="M20">
        <v>99.281042999999997</v>
      </c>
      <c r="N20">
        <v>3630.8041964959598</v>
      </c>
      <c r="O20">
        <v>98.214433</v>
      </c>
      <c r="P20">
        <v>1</v>
      </c>
      <c r="Q20">
        <v>0</v>
      </c>
      <c r="R20">
        <v>0</v>
      </c>
      <c r="S20">
        <v>-3.4773997364875801E-3</v>
      </c>
    </row>
    <row r="21" spans="1:19" x14ac:dyDescent="0.25">
      <c r="A21" t="s">
        <v>38</v>
      </c>
      <c r="B21">
        <v>9783.2999999999993</v>
      </c>
      <c r="C21">
        <v>94096.4</v>
      </c>
      <c r="D21">
        <v>138143</v>
      </c>
      <c r="E21">
        <v>3</v>
      </c>
      <c r="F21">
        <v>20</v>
      </c>
      <c r="G21">
        <v>24</v>
      </c>
      <c r="H21">
        <v>3</v>
      </c>
      <c r="I21">
        <v>8</v>
      </c>
      <c r="J21">
        <v>8</v>
      </c>
      <c r="K21">
        <v>4</v>
      </c>
      <c r="L21">
        <v>7373.8942123368697</v>
      </c>
      <c r="M21">
        <v>51.001702999999999</v>
      </c>
      <c r="N21">
        <v>7373.8942123368697</v>
      </c>
      <c r="O21">
        <v>51.001702999999999</v>
      </c>
      <c r="P21">
        <v>4</v>
      </c>
      <c r="Q21">
        <v>0</v>
      </c>
      <c r="R21">
        <v>0</v>
      </c>
      <c r="S21">
        <v>0</v>
      </c>
    </row>
    <row r="22" spans="1:19" x14ac:dyDescent="0.25">
      <c r="A22" t="s">
        <v>39</v>
      </c>
      <c r="B22">
        <v>12741.5</v>
      </c>
      <c r="C22">
        <v>15130.8</v>
      </c>
      <c r="D22">
        <v>138143</v>
      </c>
      <c r="E22">
        <v>3</v>
      </c>
      <c r="F22">
        <v>20</v>
      </c>
      <c r="G22">
        <v>31</v>
      </c>
      <c r="H22">
        <v>2</v>
      </c>
      <c r="I22">
        <v>24</v>
      </c>
      <c r="J22">
        <v>44</v>
      </c>
      <c r="K22">
        <v>2</v>
      </c>
      <c r="L22">
        <v>5032.66918434529</v>
      </c>
      <c r="M22">
        <v>92.104409000000004</v>
      </c>
      <c r="N22">
        <v>5032.66918434529</v>
      </c>
      <c r="O22">
        <v>65.731995999999995</v>
      </c>
      <c r="P22">
        <v>205</v>
      </c>
      <c r="Q22">
        <v>0</v>
      </c>
      <c r="R22">
        <v>0</v>
      </c>
      <c r="S22">
        <v>-6.3130131636663006E-2</v>
      </c>
    </row>
    <row r="23" spans="1:19" x14ac:dyDescent="0.25">
      <c r="A23" t="s">
        <v>40</v>
      </c>
      <c r="B23">
        <v>10713.9</v>
      </c>
      <c r="C23">
        <v>1</v>
      </c>
      <c r="D23">
        <v>138143</v>
      </c>
      <c r="E23">
        <v>3</v>
      </c>
      <c r="F23">
        <v>20</v>
      </c>
      <c r="G23">
        <v>25</v>
      </c>
      <c r="H23">
        <v>3</v>
      </c>
      <c r="I23">
        <v>8</v>
      </c>
      <c r="J23">
        <v>8</v>
      </c>
      <c r="K23">
        <v>1</v>
      </c>
      <c r="L23">
        <v>0</v>
      </c>
      <c r="M23">
        <v>46.135564000000002</v>
      </c>
      <c r="N23">
        <v>0</v>
      </c>
      <c r="O23">
        <v>46.135564000000002</v>
      </c>
      <c r="P23">
        <v>2</v>
      </c>
      <c r="Q23">
        <v>0</v>
      </c>
      <c r="R23">
        <v>0</v>
      </c>
      <c r="S23">
        <v>0</v>
      </c>
    </row>
    <row r="24" spans="1:19" x14ac:dyDescent="0.25">
      <c r="A24" t="s">
        <v>41</v>
      </c>
      <c r="B24">
        <v>11710.8</v>
      </c>
      <c r="C24">
        <v>100526.3</v>
      </c>
      <c r="D24">
        <v>138143</v>
      </c>
      <c r="E24">
        <v>3</v>
      </c>
      <c r="F24">
        <v>20</v>
      </c>
      <c r="G24">
        <v>29</v>
      </c>
      <c r="H24">
        <v>2</v>
      </c>
      <c r="I24">
        <v>16</v>
      </c>
      <c r="J24">
        <v>16</v>
      </c>
      <c r="K24">
        <v>5</v>
      </c>
      <c r="L24">
        <v>2828.2343027389202</v>
      </c>
      <c r="M24">
        <v>97.672105000000002</v>
      </c>
      <c r="N24">
        <v>2828.2343027389202</v>
      </c>
      <c r="O24">
        <v>97.672105000000002</v>
      </c>
      <c r="P24">
        <v>2</v>
      </c>
      <c r="Q24">
        <v>0</v>
      </c>
      <c r="R24">
        <v>0</v>
      </c>
      <c r="S24">
        <v>0</v>
      </c>
    </row>
    <row r="25" spans="1:19" x14ac:dyDescent="0.25">
      <c r="A25" t="s">
        <v>42</v>
      </c>
      <c r="B25">
        <v>12584.3</v>
      </c>
      <c r="C25">
        <v>82479.5</v>
      </c>
      <c r="D25">
        <v>138143</v>
      </c>
      <c r="E25">
        <v>3</v>
      </c>
      <c r="F25">
        <v>20</v>
      </c>
      <c r="G25">
        <v>28</v>
      </c>
      <c r="H25">
        <v>2</v>
      </c>
      <c r="I25">
        <v>22</v>
      </c>
      <c r="J25">
        <v>30</v>
      </c>
      <c r="K25">
        <v>2</v>
      </c>
      <c r="L25">
        <v>5086.2050216395901</v>
      </c>
      <c r="M25">
        <v>127.618145</v>
      </c>
      <c r="N25">
        <v>4509.3796450834998</v>
      </c>
      <c r="O25">
        <v>123.401736</v>
      </c>
      <c r="P25">
        <v>13</v>
      </c>
      <c r="Q25">
        <v>0</v>
      </c>
      <c r="R25">
        <v>0</v>
      </c>
      <c r="S25">
        <v>-3.4563468794119402E-2</v>
      </c>
    </row>
    <row r="26" spans="1:19" x14ac:dyDescent="0.25">
      <c r="A26" t="s">
        <v>43</v>
      </c>
      <c r="B26">
        <v>11702.7</v>
      </c>
      <c r="C26">
        <v>852</v>
      </c>
      <c r="D26">
        <v>138143</v>
      </c>
      <c r="E26">
        <v>3</v>
      </c>
      <c r="F26">
        <v>20</v>
      </c>
      <c r="G26">
        <v>28</v>
      </c>
      <c r="H26">
        <v>3</v>
      </c>
      <c r="I26">
        <v>16</v>
      </c>
      <c r="J26">
        <v>44</v>
      </c>
      <c r="K26">
        <v>2</v>
      </c>
      <c r="L26">
        <v>3402.2851255741498</v>
      </c>
      <c r="M26">
        <v>48.974395999999999</v>
      </c>
      <c r="N26">
        <v>3255.3564152871199</v>
      </c>
      <c r="O26">
        <v>40.777555999999997</v>
      </c>
      <c r="P26">
        <v>5347</v>
      </c>
      <c r="Q26">
        <v>0</v>
      </c>
      <c r="R26">
        <v>0</v>
      </c>
      <c r="S26">
        <v>-2.8620811899132199E-2</v>
      </c>
    </row>
    <row r="27" spans="1:19" x14ac:dyDescent="0.25">
      <c r="A27" t="s">
        <v>44</v>
      </c>
      <c r="B27">
        <v>9472.7000000000007</v>
      </c>
      <c r="C27">
        <v>66786.5</v>
      </c>
      <c r="D27">
        <v>138143</v>
      </c>
      <c r="E27">
        <v>3</v>
      </c>
      <c r="F27">
        <v>20</v>
      </c>
      <c r="G27">
        <v>24</v>
      </c>
      <c r="H27">
        <v>3</v>
      </c>
      <c r="I27">
        <v>12</v>
      </c>
      <c r="J27">
        <v>12</v>
      </c>
      <c r="K27">
        <v>2</v>
      </c>
      <c r="L27">
        <v>3772.0920515287999</v>
      </c>
      <c r="M27">
        <v>48.205339000000002</v>
      </c>
      <c r="N27">
        <v>3772.0920515287999</v>
      </c>
      <c r="O27">
        <v>48.205339000000002</v>
      </c>
      <c r="P27">
        <v>7</v>
      </c>
      <c r="Q27">
        <v>0</v>
      </c>
      <c r="R27">
        <v>0</v>
      </c>
      <c r="S27">
        <v>0</v>
      </c>
    </row>
    <row r="28" spans="1:19" x14ac:dyDescent="0.25">
      <c r="A28" t="s">
        <v>45</v>
      </c>
      <c r="B28">
        <v>10040.299999999999</v>
      </c>
      <c r="C28">
        <v>1</v>
      </c>
      <c r="D28">
        <v>138143</v>
      </c>
      <c r="E28">
        <v>3</v>
      </c>
      <c r="F28">
        <v>20</v>
      </c>
      <c r="G28">
        <v>27</v>
      </c>
      <c r="H28">
        <v>1</v>
      </c>
      <c r="I28">
        <v>18</v>
      </c>
      <c r="J28">
        <v>18</v>
      </c>
      <c r="K28">
        <v>1</v>
      </c>
      <c r="L28">
        <v>3348.5785027237298</v>
      </c>
      <c r="M28">
        <v>139.71910499999899</v>
      </c>
      <c r="N28">
        <v>3348.5785027237298</v>
      </c>
      <c r="O28">
        <v>139.71910499999899</v>
      </c>
      <c r="P28">
        <v>2</v>
      </c>
      <c r="Q28">
        <v>0</v>
      </c>
      <c r="R28">
        <v>0</v>
      </c>
      <c r="S28">
        <v>0</v>
      </c>
    </row>
    <row r="29" spans="1:19" x14ac:dyDescent="0.25">
      <c r="A29" t="s">
        <v>46</v>
      </c>
      <c r="B29">
        <v>9156.7999999999993</v>
      </c>
      <c r="C29">
        <v>81192.7</v>
      </c>
      <c r="D29">
        <v>138143</v>
      </c>
      <c r="E29">
        <v>3</v>
      </c>
      <c r="F29">
        <v>20</v>
      </c>
      <c r="G29">
        <v>23</v>
      </c>
      <c r="H29">
        <v>1</v>
      </c>
      <c r="I29">
        <v>8</v>
      </c>
      <c r="J29">
        <v>22</v>
      </c>
      <c r="K29">
        <v>2</v>
      </c>
      <c r="L29">
        <v>6051.53734641348</v>
      </c>
      <c r="M29">
        <v>48.442883999999999</v>
      </c>
      <c r="N29">
        <v>5940.0658303647197</v>
      </c>
      <c r="O29">
        <v>37.565480999999998</v>
      </c>
      <c r="P29">
        <v>1</v>
      </c>
      <c r="Q29">
        <v>0</v>
      </c>
      <c r="R29">
        <v>0</v>
      </c>
      <c r="S29">
        <v>-4.3642404339464799E-2</v>
      </c>
    </row>
    <row r="30" spans="1:19" x14ac:dyDescent="0.25">
      <c r="A30" t="s">
        <v>47</v>
      </c>
      <c r="B30">
        <v>11148.8</v>
      </c>
      <c r="C30">
        <v>27154.3</v>
      </c>
      <c r="D30">
        <v>138143</v>
      </c>
      <c r="E30">
        <v>3</v>
      </c>
      <c r="F30">
        <v>20</v>
      </c>
      <c r="G30">
        <v>27</v>
      </c>
      <c r="H30">
        <v>2</v>
      </c>
      <c r="I30">
        <v>16</v>
      </c>
      <c r="J30">
        <v>20</v>
      </c>
      <c r="K30">
        <v>1</v>
      </c>
      <c r="L30">
        <v>2721.1490679142398</v>
      </c>
      <c r="M30">
        <v>138.49139400000001</v>
      </c>
      <c r="N30">
        <v>2721.1490679142398</v>
      </c>
      <c r="O30">
        <v>134.751643</v>
      </c>
      <c r="P30">
        <v>1</v>
      </c>
      <c r="Q30">
        <v>0</v>
      </c>
      <c r="R30">
        <v>0</v>
      </c>
      <c r="S30">
        <v>-1.1258408325596899E-2</v>
      </c>
    </row>
    <row r="31" spans="1:19" x14ac:dyDescent="0.25">
      <c r="A31" t="s">
        <v>48</v>
      </c>
      <c r="B31">
        <v>10538.3</v>
      </c>
      <c r="C31">
        <v>12005.7</v>
      </c>
      <c r="D31">
        <v>138143</v>
      </c>
      <c r="E31">
        <v>3</v>
      </c>
      <c r="F31">
        <v>20</v>
      </c>
      <c r="G31">
        <v>28</v>
      </c>
      <c r="H31">
        <v>1</v>
      </c>
      <c r="I31">
        <v>20</v>
      </c>
      <c r="J31">
        <v>28</v>
      </c>
      <c r="K31">
        <v>1</v>
      </c>
      <c r="L31">
        <v>3501.1266002812999</v>
      </c>
      <c r="M31">
        <v>28.227296999999901</v>
      </c>
      <c r="N31">
        <v>2074.53495314866</v>
      </c>
      <c r="O31">
        <v>4.2780719999999999</v>
      </c>
      <c r="P31">
        <v>426</v>
      </c>
      <c r="Q31">
        <v>0</v>
      </c>
      <c r="R31">
        <v>0</v>
      </c>
      <c r="S31">
        <v>-0.118518255965117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P3_20_summary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2026-09-14T13:54:30Z</dcterms:created>
  <dcterms:modified xsi:type="dcterms:W3CDTF">2026-09-14T13:54:30Z</dcterms:modified>
</cp:coreProperties>
</file>