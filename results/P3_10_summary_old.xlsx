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6FCC1483-D8BB-4DA3-AD0E-F85C342C0584}" xr6:coauthVersionLast="47" xr6:coauthVersionMax="47" xr10:uidLastSave="{00000000-0000-0000-0000-000000000000}"/>
  <bookViews>
    <workbookView xWindow="-120" yWindow="-120" windowWidth="29040" windowHeight="15840" xr2:uid="{E445DE53-5A22-4F7F-80E9-B1EED08A8F05}"/>
  </bookViews>
  <sheets>
    <sheet name="P3_10_summary" sheetId="1" r:id="rId1"/>
  </sheets>
  <calcPr calcId="0"/>
</workbook>
</file>

<file path=xl/calcChain.xml><?xml version="1.0" encoding="utf-8"?>
<calcChain xmlns="http://schemas.openxmlformats.org/spreadsheetml/2006/main">
  <c r="Z2" i="1" l="1"/>
  <c r="Y2" i="1"/>
  <c r="X2" i="1"/>
  <c r="W2" i="1"/>
  <c r="V2" i="1"/>
</calcChain>
</file>

<file path=xl/sharedStrings.xml><?xml version="1.0" encoding="utf-8"?>
<sst xmlns="http://schemas.openxmlformats.org/spreadsheetml/2006/main" count="89" uniqueCount="54">
  <si>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</si>
  <si>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</si>
  <si>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</si>
  <si>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</si>
  <si>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</si>
  <si>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</si>
  <si>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</si>
  <si>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</si>
  <si>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</si>
  <si>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</si>
  <si>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</si>
  <si>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</si>
  <si>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</si>
  <si>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</si>
  <si>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</si>
  <si>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</si>
  <si>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</si>
  <si>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</si>
  <si>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</si>
  <si>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P3_10_1</t>
  </si>
  <si>
    <t>P3_10_10</t>
  </si>
  <si>
    <t>P3_10_11</t>
  </si>
  <si>
    <t>P3_10_12</t>
  </si>
  <si>
    <t>P3_10_13</t>
  </si>
  <si>
    <t>P3_10_14</t>
  </si>
  <si>
    <t>P3_10_15</t>
  </si>
  <si>
    <t>P3_10_16</t>
  </si>
  <si>
    <t>P3_10_17</t>
  </si>
  <si>
    <t>P3_10_18</t>
  </si>
  <si>
    <t>P3_10_19</t>
  </si>
  <si>
    <t>P3_10_2</t>
  </si>
  <si>
    <t>P3_10_20</t>
  </si>
  <si>
    <t>P3_10_21</t>
  </si>
  <si>
    <t>P3_10_22</t>
  </si>
  <si>
    <t>P3_10_23</t>
  </si>
  <si>
    <t>P3_10_24</t>
  </si>
  <si>
    <t>P3_10_25</t>
  </si>
  <si>
    <t>P3_10_26</t>
  </si>
  <si>
    <t>P3_10_27</t>
  </si>
  <si>
    <t>P3_10_28</t>
  </si>
  <si>
    <t>P3_10_29</t>
  </si>
  <si>
    <t>P3_10_3</t>
  </si>
  <si>
    <t>P3_10_30</t>
  </si>
  <si>
    <t>P3_10_4</t>
  </si>
  <si>
    <t>P3_10_5</t>
  </si>
  <si>
    <t>P3_10_6</t>
  </si>
  <si>
    <t>P3_10_7</t>
  </si>
  <si>
    <t>P3_10_8</t>
  </si>
  <si>
    <t>P3_10_9</t>
  </si>
  <si>
    <t>Média estabilizar</t>
  </si>
  <si>
    <t>Tempo médio</t>
  </si>
  <si>
    <t>Desvio padrão</t>
  </si>
  <si>
    <t>2 sols</t>
  </si>
  <si>
    <t>3+sols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</si>
</sst>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437D-2D4A-4BEF-A65F-59A788622D3E}">
  <dimension ref="A1:Z66"/>
  <sheetViews>
    <sheetView tabSelected="1" workbookViewId="0">
      <selection activeCell="Z3" sqref="Z3"/>
    </sheetView>
  </sheetViews>
  <sheetFormatPr defaultRowHeight="15" x14ac:dyDescent="0.25"/>
  <cols>
    <col min="22" max="22" width="13.140625" bestFit="1" customWidth="1"/>
    <col min="23" max="23" width="13.85546875" bestFit="1" customWidth="1"/>
    <col min="24" max="24" width="16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50</v>
      </c>
      <c r="W1" t="s">
        <v>51</v>
      </c>
      <c r="X1" t="s">
        <v>49</v>
      </c>
      <c r="Y1" t="s">
        <v>52</v>
      </c>
      <c r="Z1" t="s">
        <v>53</v>
      </c>
    </row>
    <row r="2" spans="1:26" x14ac:dyDescent="0.25">
      <c r="A2" t="s">
        <v>19</v>
      </c>
      <c r="B2">
        <v>4300</v>
      </c>
      <c r="C2">
        <v>487.5</v>
      </c>
      <c r="D2">
        <v>138143</v>
      </c>
      <c r="E2">
        <v>3</v>
      </c>
      <c r="F2">
        <v>10</v>
      </c>
      <c r="G2">
        <v>13</v>
      </c>
      <c r="H2">
        <v>1</v>
      </c>
      <c r="I2">
        <v>8</v>
      </c>
      <c r="J2">
        <v>8</v>
      </c>
      <c r="K2">
        <v>2</v>
      </c>
      <c r="L2">
        <v>2004.7687849190299</v>
      </c>
      <c r="M2">
        <v>11.755061999999899</v>
      </c>
      <c r="N2">
        <v>2004.7687849190299</v>
      </c>
      <c r="O2">
        <v>11.755061999999899</v>
      </c>
      <c r="P2">
        <v>243</v>
      </c>
      <c r="Q2">
        <v>0</v>
      </c>
      <c r="R2">
        <v>0</v>
      </c>
      <c r="S2">
        <v>0</v>
      </c>
      <c r="V2">
        <f>SUM(B2,B4,B5,B7,B9,B11,B13,B20,B21,B24,B26,B27,B28,B30,B33,B35,B37,B43,B45,B47,B51,B52,B54,B55,B57,B59,B60,B61,B63,B66)/30</f>
        <v>8566.2999999999975</v>
      </c>
      <c r="W2">
        <f>_xlfn.STDEV.P(B2,B4,B5,B7,B9,B11,B13,B20,B21,B24,B26,B27,B28,B30,B33,B35,B37,B43,B45,B47,B51,B52,B54,B55,B57,B59,B60,B61,B63,B66)</f>
        <v>1717.6906729676418</v>
      </c>
      <c r="X2">
        <f>SUM(C2,C4,C5,C7,C9,C11,C13,C20,C21,C24,C26,C27,C28,C30,C33,C35,C37,C43,C45,C47,C51,C52,C54,C55,C57,C59,C60,C61,C63,C66)/30</f>
        <v>36165.553333333337</v>
      </c>
      <c r="Y2">
        <f>14/30</f>
        <v>0.46666666666666667</v>
      </c>
      <c r="Z2">
        <f>6/30</f>
        <v>0.2</v>
      </c>
    </row>
    <row r="3" spans="1:26" x14ac:dyDescent="0.25">
      <c r="A3" t="s">
        <v>19</v>
      </c>
      <c r="B3">
        <v>4300</v>
      </c>
      <c r="C3">
        <v>487.5</v>
      </c>
      <c r="D3">
        <v>138143</v>
      </c>
      <c r="E3">
        <v>3</v>
      </c>
      <c r="F3">
        <v>10</v>
      </c>
      <c r="G3">
        <v>13</v>
      </c>
      <c r="H3">
        <v>1</v>
      </c>
      <c r="I3">
        <v>8</v>
      </c>
      <c r="J3">
        <v>12</v>
      </c>
      <c r="K3">
        <v>2</v>
      </c>
      <c r="L3">
        <v>2004.7687849190299</v>
      </c>
      <c r="M3">
        <v>11.755061999999899</v>
      </c>
      <c r="N3">
        <v>1760.31098856526</v>
      </c>
      <c r="O3">
        <v>37.616625999999997</v>
      </c>
      <c r="P3">
        <v>243</v>
      </c>
      <c r="Q3">
        <v>9.1398911179965802E-3</v>
      </c>
      <c r="R3">
        <v>0.16265056641678199</v>
      </c>
      <c r="S3">
        <v>-9.1398911179965802E-3</v>
      </c>
    </row>
    <row r="4" spans="1:26" x14ac:dyDescent="0.25">
      <c r="A4" t="s">
        <v>20</v>
      </c>
      <c r="B4">
        <v>5304.2</v>
      </c>
      <c r="C4">
        <v>372.2</v>
      </c>
      <c r="D4">
        <v>138143</v>
      </c>
      <c r="E4">
        <v>3</v>
      </c>
      <c r="F4">
        <v>10</v>
      </c>
      <c r="G4">
        <v>14</v>
      </c>
      <c r="H4">
        <v>1</v>
      </c>
      <c r="I4">
        <v>12</v>
      </c>
      <c r="J4">
        <v>16</v>
      </c>
      <c r="K4">
        <v>1</v>
      </c>
      <c r="L4">
        <v>3523.2592745760398</v>
      </c>
      <c r="M4">
        <v>50.891838999999997</v>
      </c>
      <c r="N4">
        <v>2865.68152883742</v>
      </c>
      <c r="O4">
        <v>39.657225999999902</v>
      </c>
      <c r="P4">
        <v>729</v>
      </c>
      <c r="Q4">
        <v>0</v>
      </c>
      <c r="R4">
        <v>0</v>
      </c>
      <c r="S4">
        <v>-7.4036339813531193E-2</v>
      </c>
    </row>
    <row r="5" spans="1:26" x14ac:dyDescent="0.25">
      <c r="A5" t="s">
        <v>21</v>
      </c>
      <c r="B5">
        <v>9045.7999999999993</v>
      </c>
      <c r="C5">
        <v>798.3</v>
      </c>
      <c r="D5">
        <v>138143</v>
      </c>
      <c r="E5">
        <v>3</v>
      </c>
      <c r="F5">
        <v>10</v>
      </c>
      <c r="G5">
        <v>18</v>
      </c>
      <c r="H5">
        <v>1</v>
      </c>
      <c r="I5">
        <v>18</v>
      </c>
      <c r="J5">
        <v>22</v>
      </c>
      <c r="K5">
        <v>2</v>
      </c>
      <c r="L5">
        <v>7106.3014745788996</v>
      </c>
      <c r="M5">
        <v>60.686453999999998</v>
      </c>
      <c r="N5">
        <v>6649.6091898894701</v>
      </c>
      <c r="O5">
        <v>52.225878999999999</v>
      </c>
      <c r="P5">
        <v>243</v>
      </c>
      <c r="Q5">
        <v>0</v>
      </c>
      <c r="R5">
        <v>0</v>
      </c>
      <c r="S5">
        <v>-5.2601186555722199E-2</v>
      </c>
    </row>
    <row r="6" spans="1:26" x14ac:dyDescent="0.25">
      <c r="A6" t="s">
        <v>21</v>
      </c>
      <c r="B6">
        <v>9045.7999999999993</v>
      </c>
      <c r="C6">
        <v>798.3</v>
      </c>
      <c r="D6">
        <v>138143</v>
      </c>
      <c r="E6">
        <v>3</v>
      </c>
      <c r="F6">
        <v>10</v>
      </c>
      <c r="G6">
        <v>18</v>
      </c>
      <c r="H6">
        <v>1</v>
      </c>
      <c r="I6">
        <v>18</v>
      </c>
      <c r="J6">
        <v>22</v>
      </c>
      <c r="K6">
        <v>2</v>
      </c>
      <c r="L6">
        <v>7106.3014745788996</v>
      </c>
      <c r="M6">
        <v>60.686453999999998</v>
      </c>
      <c r="N6">
        <v>5949.5701550772701</v>
      </c>
      <c r="O6">
        <v>78.805977999999996</v>
      </c>
      <c r="P6">
        <v>243</v>
      </c>
      <c r="Q6">
        <v>2.6584023564739101E-2</v>
      </c>
      <c r="R6">
        <v>0.110768867516402</v>
      </c>
      <c r="S6">
        <v>-7.91852101204613E-2</v>
      </c>
    </row>
    <row r="7" spans="1:26" x14ac:dyDescent="0.25">
      <c r="A7" t="s">
        <v>22</v>
      </c>
      <c r="B7">
        <v>9367.6</v>
      </c>
      <c r="C7">
        <v>82191.5</v>
      </c>
      <c r="D7">
        <v>138143</v>
      </c>
      <c r="E7">
        <v>3</v>
      </c>
      <c r="F7">
        <v>10</v>
      </c>
      <c r="G7">
        <v>14</v>
      </c>
      <c r="H7">
        <v>1</v>
      </c>
      <c r="I7">
        <v>8</v>
      </c>
      <c r="J7">
        <v>8</v>
      </c>
      <c r="K7">
        <v>2</v>
      </c>
      <c r="L7">
        <v>3986.10766974119</v>
      </c>
      <c r="M7">
        <v>49.357517000000001</v>
      </c>
      <c r="N7">
        <v>3846.4687074373801</v>
      </c>
      <c r="O7">
        <v>49.357517000000001</v>
      </c>
      <c r="P7">
        <v>1</v>
      </c>
      <c r="Q7">
        <v>0</v>
      </c>
      <c r="R7">
        <v>0</v>
      </c>
      <c r="S7">
        <v>-5.1754615982816101E-3</v>
      </c>
    </row>
    <row r="8" spans="1:26" x14ac:dyDescent="0.25">
      <c r="A8" t="s">
        <v>22</v>
      </c>
      <c r="B8">
        <v>9367.6</v>
      </c>
      <c r="C8">
        <v>82191.5</v>
      </c>
      <c r="D8">
        <v>138143</v>
      </c>
      <c r="E8">
        <v>3</v>
      </c>
      <c r="F8">
        <v>10</v>
      </c>
      <c r="G8">
        <v>14</v>
      </c>
      <c r="H8">
        <v>1</v>
      </c>
      <c r="I8">
        <v>8</v>
      </c>
      <c r="J8">
        <v>6</v>
      </c>
      <c r="K8">
        <v>2</v>
      </c>
      <c r="L8">
        <v>3986.10766974119</v>
      </c>
      <c r="M8">
        <v>49.357517000000001</v>
      </c>
      <c r="N8">
        <v>3652.2204779830099</v>
      </c>
      <c r="O8">
        <v>75.180194</v>
      </c>
      <c r="P8">
        <v>1</v>
      </c>
      <c r="Q8">
        <v>7.1994537591022704E-3</v>
      </c>
      <c r="R8">
        <v>0.14864217020582299</v>
      </c>
      <c r="S8">
        <v>-1.23749153573838E-2</v>
      </c>
    </row>
    <row r="9" spans="1:26" x14ac:dyDescent="0.25">
      <c r="A9" t="s">
        <v>23</v>
      </c>
      <c r="B9">
        <v>7724.2</v>
      </c>
      <c r="C9">
        <v>56857.2</v>
      </c>
      <c r="D9">
        <v>138143</v>
      </c>
      <c r="E9">
        <v>3</v>
      </c>
      <c r="F9">
        <v>10</v>
      </c>
      <c r="G9">
        <v>13</v>
      </c>
      <c r="H9">
        <v>1</v>
      </c>
      <c r="I9">
        <v>8</v>
      </c>
      <c r="J9">
        <v>6</v>
      </c>
      <c r="K9">
        <v>2</v>
      </c>
      <c r="L9">
        <v>4031.1301493642</v>
      </c>
      <c r="M9">
        <v>46.666533000000001</v>
      </c>
      <c r="N9">
        <v>4031.1301493642</v>
      </c>
      <c r="O9">
        <v>38.513182999999998</v>
      </c>
      <c r="P9">
        <v>1</v>
      </c>
      <c r="Q9">
        <v>0</v>
      </c>
      <c r="R9">
        <v>0</v>
      </c>
      <c r="S9">
        <v>-4.2346542610871202E-2</v>
      </c>
    </row>
    <row r="10" spans="1:26" x14ac:dyDescent="0.25">
      <c r="A10" t="s">
        <v>23</v>
      </c>
      <c r="B10">
        <v>7724.2</v>
      </c>
      <c r="C10">
        <v>56857.2</v>
      </c>
      <c r="D10">
        <v>138143</v>
      </c>
      <c r="E10">
        <v>3</v>
      </c>
      <c r="F10">
        <v>10</v>
      </c>
      <c r="G10">
        <v>13</v>
      </c>
      <c r="H10">
        <v>1</v>
      </c>
      <c r="I10">
        <v>8</v>
      </c>
      <c r="J10">
        <v>4</v>
      </c>
      <c r="K10">
        <v>2</v>
      </c>
      <c r="L10">
        <v>4031.1301493642</v>
      </c>
      <c r="M10">
        <v>46.666533000000001</v>
      </c>
      <c r="N10">
        <v>3352.4786677962702</v>
      </c>
      <c r="O10">
        <v>64.694111999999905</v>
      </c>
      <c r="P10">
        <v>1</v>
      </c>
      <c r="Q10">
        <v>2.4821654040649E-2</v>
      </c>
      <c r="R10">
        <v>0.13597746024526</v>
      </c>
      <c r="S10">
        <v>-6.7168196651520296E-2</v>
      </c>
    </row>
    <row r="11" spans="1:26" x14ac:dyDescent="0.25">
      <c r="A11" t="s">
        <v>24</v>
      </c>
      <c r="B11">
        <v>6918.2</v>
      </c>
      <c r="C11">
        <v>391</v>
      </c>
      <c r="D11">
        <v>138143</v>
      </c>
      <c r="E11">
        <v>3</v>
      </c>
      <c r="F11">
        <v>10</v>
      </c>
      <c r="G11">
        <v>13</v>
      </c>
      <c r="H11">
        <v>1</v>
      </c>
      <c r="I11">
        <v>8</v>
      </c>
      <c r="J11">
        <v>14</v>
      </c>
      <c r="K11">
        <v>2</v>
      </c>
      <c r="L11">
        <v>3022.1654448110198</v>
      </c>
      <c r="M11">
        <v>11.82551</v>
      </c>
      <c r="N11">
        <v>3022.1654448110198</v>
      </c>
      <c r="O11">
        <v>1.9309430000000001</v>
      </c>
      <c r="P11">
        <v>243</v>
      </c>
      <c r="Q11">
        <v>0</v>
      </c>
      <c r="R11">
        <v>0</v>
      </c>
      <c r="S11">
        <v>-6.4218059571901895E-2</v>
      </c>
    </row>
    <row r="12" spans="1:26" x14ac:dyDescent="0.25">
      <c r="A12" t="s">
        <v>24</v>
      </c>
      <c r="B12">
        <v>6918.2</v>
      </c>
      <c r="C12">
        <v>391</v>
      </c>
      <c r="D12">
        <v>138143</v>
      </c>
      <c r="E12">
        <v>3</v>
      </c>
      <c r="F12">
        <v>10</v>
      </c>
      <c r="G12">
        <v>13</v>
      </c>
      <c r="H12">
        <v>1</v>
      </c>
      <c r="I12">
        <v>8</v>
      </c>
      <c r="J12">
        <v>12</v>
      </c>
      <c r="K12">
        <v>2</v>
      </c>
      <c r="L12">
        <v>3022.1654448110198</v>
      </c>
      <c r="M12">
        <v>11.82551</v>
      </c>
      <c r="N12">
        <v>2793.3898284438201</v>
      </c>
      <c r="O12">
        <v>28.623383</v>
      </c>
      <c r="P12">
        <v>243</v>
      </c>
      <c r="Q12">
        <v>8.2449033200929205E-3</v>
      </c>
      <c r="R12">
        <v>0.17324019353645401</v>
      </c>
      <c r="S12">
        <v>-7.2462962891994803E-2</v>
      </c>
    </row>
    <row r="13" spans="1:26" x14ac:dyDescent="0.25">
      <c r="A13" t="s">
        <v>25</v>
      </c>
      <c r="B13">
        <v>9270.5</v>
      </c>
      <c r="C13">
        <v>84836.800000000003</v>
      </c>
      <c r="D13">
        <v>138143</v>
      </c>
      <c r="E13">
        <v>3</v>
      </c>
      <c r="F13">
        <v>10</v>
      </c>
      <c r="G13">
        <v>13</v>
      </c>
      <c r="H13">
        <v>1</v>
      </c>
      <c r="I13">
        <v>8</v>
      </c>
      <c r="J13">
        <v>14</v>
      </c>
      <c r="K13">
        <v>7</v>
      </c>
      <c r="L13">
        <v>7332.3918965893799</v>
      </c>
      <c r="M13">
        <v>45.778595000000003</v>
      </c>
      <c r="N13">
        <v>9578.9882245155495</v>
      </c>
      <c r="O13">
        <v>44.274177999999999</v>
      </c>
      <c r="P13">
        <v>24</v>
      </c>
      <c r="Q13">
        <v>0</v>
      </c>
      <c r="R13">
        <v>0</v>
      </c>
      <c r="S13">
        <v>7.4104045722865594E-2</v>
      </c>
    </row>
    <row r="14" spans="1:26" x14ac:dyDescent="0.25">
      <c r="A14" t="s">
        <v>25</v>
      </c>
      <c r="B14">
        <v>9270.5</v>
      </c>
      <c r="C14">
        <v>84836.800000000003</v>
      </c>
      <c r="D14">
        <v>138143</v>
      </c>
      <c r="E14">
        <v>3</v>
      </c>
      <c r="F14">
        <v>10</v>
      </c>
      <c r="G14">
        <v>13</v>
      </c>
      <c r="H14">
        <v>1</v>
      </c>
      <c r="I14">
        <v>8</v>
      </c>
      <c r="J14">
        <v>8</v>
      </c>
      <c r="K14">
        <v>7</v>
      </c>
      <c r="L14">
        <v>7332.3918965893799</v>
      </c>
      <c r="M14">
        <v>45.778595000000003</v>
      </c>
      <c r="N14">
        <v>7332.3918965893799</v>
      </c>
      <c r="O14">
        <v>45.778595000000003</v>
      </c>
      <c r="P14">
        <v>2</v>
      </c>
      <c r="Q14">
        <v>8.2801154771506402E-2</v>
      </c>
      <c r="R14">
        <v>8.6971090486407908E-3</v>
      </c>
      <c r="S14">
        <v>-8.6971090486407908E-3</v>
      </c>
    </row>
    <row r="15" spans="1:26" x14ac:dyDescent="0.25">
      <c r="A15" t="s">
        <v>25</v>
      </c>
      <c r="B15">
        <v>9270.5</v>
      </c>
      <c r="C15">
        <v>84836.800000000003</v>
      </c>
      <c r="D15">
        <v>138143</v>
      </c>
      <c r="E15">
        <v>3</v>
      </c>
      <c r="F15">
        <v>10</v>
      </c>
      <c r="G15">
        <v>13</v>
      </c>
      <c r="H15">
        <v>1</v>
      </c>
      <c r="I15">
        <v>8</v>
      </c>
      <c r="J15">
        <v>8</v>
      </c>
      <c r="K15">
        <v>7</v>
      </c>
      <c r="L15">
        <v>7332.3918965893799</v>
      </c>
      <c r="M15">
        <v>45.778595000000003</v>
      </c>
      <c r="N15">
        <v>7029.18189329081</v>
      </c>
      <c r="O15">
        <v>49.599398000000001</v>
      </c>
      <c r="P15">
        <v>1</v>
      </c>
      <c r="Q15">
        <v>1.11751889288315E-2</v>
      </c>
      <c r="R15">
        <v>2.2088251026393502E-2</v>
      </c>
      <c r="S15">
        <v>-1.11751889288315E-2</v>
      </c>
    </row>
    <row r="16" spans="1:26" x14ac:dyDescent="0.25">
      <c r="A16" t="s">
        <v>25</v>
      </c>
      <c r="B16">
        <v>9270.5</v>
      </c>
      <c r="C16">
        <v>84836.800000000003</v>
      </c>
      <c r="D16">
        <v>138143</v>
      </c>
      <c r="E16">
        <v>3</v>
      </c>
      <c r="F16">
        <v>10</v>
      </c>
      <c r="G16">
        <v>13</v>
      </c>
      <c r="H16">
        <v>1</v>
      </c>
      <c r="I16">
        <v>8</v>
      </c>
      <c r="J16">
        <v>8</v>
      </c>
      <c r="K16">
        <v>7</v>
      </c>
      <c r="L16">
        <v>7332.3918965893799</v>
      </c>
      <c r="M16">
        <v>45.778595000000003</v>
      </c>
      <c r="N16">
        <v>6883.3478864729504</v>
      </c>
      <c r="O16">
        <v>49.665962999999898</v>
      </c>
      <c r="P16">
        <v>2</v>
      </c>
      <c r="Q16">
        <v>5.3748971363366503E-3</v>
      </c>
      <c r="R16" s="1">
        <v>3.8481555567548799E-4</v>
      </c>
      <c r="S16">
        <v>5.5381649612253302E-3</v>
      </c>
    </row>
    <row r="17" spans="1:19" x14ac:dyDescent="0.25">
      <c r="A17" t="s">
        <v>25</v>
      </c>
      <c r="B17">
        <v>9270.5</v>
      </c>
      <c r="C17">
        <v>84836.800000000003</v>
      </c>
      <c r="D17">
        <v>138143</v>
      </c>
      <c r="E17">
        <v>3</v>
      </c>
      <c r="F17">
        <v>10</v>
      </c>
      <c r="G17">
        <v>13</v>
      </c>
      <c r="H17">
        <v>1</v>
      </c>
      <c r="I17">
        <v>8</v>
      </c>
      <c r="J17">
        <v>6</v>
      </c>
      <c r="K17">
        <v>7</v>
      </c>
      <c r="L17">
        <v>7332.3918965893799</v>
      </c>
      <c r="M17">
        <v>45.778595000000003</v>
      </c>
      <c r="N17">
        <v>6802.40863505995</v>
      </c>
      <c r="O17">
        <v>71.972117999999995</v>
      </c>
      <c r="P17">
        <v>2</v>
      </c>
      <c r="Q17">
        <v>2.9831186849324999E-3</v>
      </c>
      <c r="R17">
        <v>0.12895298477143199</v>
      </c>
      <c r="S17">
        <v>2.93986183196831E-3</v>
      </c>
    </row>
    <row r="18" spans="1:19" x14ac:dyDescent="0.25">
      <c r="A18" t="s">
        <v>25</v>
      </c>
      <c r="B18">
        <v>9270.5</v>
      </c>
      <c r="C18">
        <v>84836.800000000003</v>
      </c>
      <c r="D18">
        <v>138143</v>
      </c>
      <c r="E18">
        <v>3</v>
      </c>
      <c r="F18">
        <v>10</v>
      </c>
      <c r="G18">
        <v>13</v>
      </c>
      <c r="H18">
        <v>1</v>
      </c>
      <c r="I18">
        <v>8</v>
      </c>
      <c r="J18">
        <v>6</v>
      </c>
      <c r="K18">
        <v>7</v>
      </c>
      <c r="L18">
        <v>7332.3918965893799</v>
      </c>
      <c r="M18">
        <v>45.778595000000003</v>
      </c>
      <c r="N18">
        <v>6491.0826753168303</v>
      </c>
      <c r="O18">
        <v>75.792921000000007</v>
      </c>
      <c r="P18">
        <v>1</v>
      </c>
      <c r="Q18">
        <v>1.14743127889261E-2</v>
      </c>
      <c r="R18">
        <v>2.2088251026393502E-2</v>
      </c>
      <c r="S18">
        <v>0.120418533814474</v>
      </c>
    </row>
    <row r="19" spans="1:19" x14ac:dyDescent="0.25">
      <c r="A19" t="s">
        <v>25</v>
      </c>
      <c r="B19">
        <v>9270.5</v>
      </c>
      <c r="C19">
        <v>84836.800000000003</v>
      </c>
      <c r="D19">
        <v>138143</v>
      </c>
      <c r="E19">
        <v>3</v>
      </c>
      <c r="F19">
        <v>10</v>
      </c>
      <c r="G19">
        <v>13</v>
      </c>
      <c r="H19">
        <v>1</v>
      </c>
      <c r="I19">
        <v>8</v>
      </c>
      <c r="J19">
        <v>6</v>
      </c>
      <c r="K19">
        <v>7</v>
      </c>
      <c r="L19">
        <v>7332.3918965893799</v>
      </c>
      <c r="M19">
        <v>45.778595000000003</v>
      </c>
      <c r="N19">
        <v>6341.3451612446197</v>
      </c>
      <c r="O19">
        <v>75.859485999999904</v>
      </c>
      <c r="P19">
        <v>2</v>
      </c>
      <c r="Q19">
        <v>5.5187658431004004E-3</v>
      </c>
      <c r="R19" s="1">
        <v>3.8481555567548799E-4</v>
      </c>
      <c r="S19">
        <v>0.136988018997767</v>
      </c>
    </row>
    <row r="20" spans="1:19" x14ac:dyDescent="0.25">
      <c r="A20" t="s">
        <v>26</v>
      </c>
      <c r="B20">
        <v>8454.7000000000007</v>
      </c>
      <c r="C20">
        <v>227.9</v>
      </c>
      <c r="D20">
        <v>138143</v>
      </c>
      <c r="E20">
        <v>3</v>
      </c>
      <c r="F20">
        <v>10</v>
      </c>
      <c r="G20">
        <v>13</v>
      </c>
      <c r="H20">
        <v>1</v>
      </c>
      <c r="I20">
        <v>8</v>
      </c>
      <c r="J20">
        <v>16</v>
      </c>
      <c r="K20">
        <v>1</v>
      </c>
      <c r="L20">
        <v>1433.8284633820799</v>
      </c>
      <c r="M20">
        <v>11.630100000000001</v>
      </c>
      <c r="N20">
        <v>1433.8284633820799</v>
      </c>
      <c r="O20">
        <v>1.8461419999999999</v>
      </c>
      <c r="P20">
        <v>729</v>
      </c>
      <c r="Q20">
        <v>0</v>
      </c>
      <c r="R20">
        <v>0</v>
      </c>
      <c r="S20">
        <v>-5.5216824941280503E-2</v>
      </c>
    </row>
    <row r="21" spans="1:19" x14ac:dyDescent="0.25">
      <c r="A21" t="s">
        <v>27</v>
      </c>
      <c r="B21">
        <v>10888.7</v>
      </c>
      <c r="C21">
        <v>38676.1</v>
      </c>
      <c r="D21">
        <v>138143</v>
      </c>
      <c r="E21">
        <v>3</v>
      </c>
      <c r="F21">
        <v>10</v>
      </c>
      <c r="G21">
        <v>17</v>
      </c>
      <c r="H21">
        <v>1</v>
      </c>
      <c r="I21">
        <v>18</v>
      </c>
      <c r="J21">
        <v>12</v>
      </c>
      <c r="K21">
        <v>3</v>
      </c>
      <c r="L21">
        <v>7001.1628964933598</v>
      </c>
      <c r="M21">
        <v>134.82849100000001</v>
      </c>
      <c r="N21">
        <v>7001.1628964933598</v>
      </c>
      <c r="O21">
        <v>114.117885</v>
      </c>
      <c r="P21">
        <v>3</v>
      </c>
      <c r="Q21">
        <v>0</v>
      </c>
      <c r="R21">
        <v>0</v>
      </c>
      <c r="S21">
        <v>-8.7329520980685194E-2</v>
      </c>
    </row>
    <row r="22" spans="1:19" x14ac:dyDescent="0.25">
      <c r="A22" t="s">
        <v>27</v>
      </c>
      <c r="B22">
        <v>10888.7</v>
      </c>
      <c r="C22">
        <v>38676.1</v>
      </c>
      <c r="D22">
        <v>138143</v>
      </c>
      <c r="E22">
        <v>3</v>
      </c>
      <c r="F22">
        <v>10</v>
      </c>
      <c r="G22">
        <v>17</v>
      </c>
      <c r="H22">
        <v>1</v>
      </c>
      <c r="I22">
        <v>18</v>
      </c>
      <c r="J22">
        <v>10</v>
      </c>
      <c r="K22">
        <v>3</v>
      </c>
      <c r="L22">
        <v>7001.1628964933598</v>
      </c>
      <c r="M22">
        <v>134.82849100000001</v>
      </c>
      <c r="N22">
        <v>6837.3939177899201</v>
      </c>
      <c r="O22">
        <v>114.742012</v>
      </c>
      <c r="P22">
        <v>3</v>
      </c>
      <c r="Q22">
        <v>6.7029601426627497E-3</v>
      </c>
      <c r="R22">
        <v>2.6317294598290301E-3</v>
      </c>
      <c r="S22">
        <v>-9.4032481123347902E-2</v>
      </c>
    </row>
    <row r="23" spans="1:19" x14ac:dyDescent="0.25">
      <c r="A23" t="s">
        <v>27</v>
      </c>
      <c r="B23">
        <v>10888.7</v>
      </c>
      <c r="C23">
        <v>38676.1</v>
      </c>
      <c r="D23">
        <v>138143</v>
      </c>
      <c r="E23">
        <v>3</v>
      </c>
      <c r="F23">
        <v>10</v>
      </c>
      <c r="G23">
        <v>17</v>
      </c>
      <c r="H23">
        <v>1</v>
      </c>
      <c r="I23">
        <v>18</v>
      </c>
      <c r="J23">
        <v>8</v>
      </c>
      <c r="K23">
        <v>3</v>
      </c>
      <c r="L23">
        <v>7001.1628964933598</v>
      </c>
      <c r="M23">
        <v>134.82849100000001</v>
      </c>
      <c r="N23">
        <v>6750.2182503814502</v>
      </c>
      <c r="O23">
        <v>141.382294</v>
      </c>
      <c r="P23">
        <v>3</v>
      </c>
      <c r="Q23">
        <v>3.5680446240500198E-3</v>
      </c>
      <c r="R23">
        <v>0.112332930569504</v>
      </c>
      <c r="S23">
        <v>-9.4968796287568893E-2</v>
      </c>
    </row>
    <row r="24" spans="1:19" x14ac:dyDescent="0.25">
      <c r="A24" t="s">
        <v>28</v>
      </c>
      <c r="B24">
        <v>7506</v>
      </c>
      <c r="C24">
        <v>55712.7</v>
      </c>
      <c r="D24">
        <v>138143</v>
      </c>
      <c r="E24">
        <v>3</v>
      </c>
      <c r="F24">
        <v>10</v>
      </c>
      <c r="G24">
        <v>13</v>
      </c>
      <c r="H24">
        <v>1</v>
      </c>
      <c r="I24">
        <v>8</v>
      </c>
      <c r="J24">
        <v>6</v>
      </c>
      <c r="K24">
        <v>2</v>
      </c>
      <c r="L24">
        <v>2611.8506620499402</v>
      </c>
      <c r="M24">
        <v>49.338610000000003</v>
      </c>
      <c r="N24">
        <v>2611.8506620499402</v>
      </c>
      <c r="O24">
        <v>38.978811</v>
      </c>
      <c r="P24">
        <v>1</v>
      </c>
      <c r="Q24">
        <v>0</v>
      </c>
      <c r="R24">
        <v>0</v>
      </c>
      <c r="S24">
        <v>-6.5205588365813305E-2</v>
      </c>
    </row>
    <row r="25" spans="1:19" x14ac:dyDescent="0.25">
      <c r="A25" t="s">
        <v>28</v>
      </c>
      <c r="B25">
        <v>7506</v>
      </c>
      <c r="C25">
        <v>55712.7</v>
      </c>
      <c r="D25">
        <v>138143</v>
      </c>
      <c r="E25">
        <v>3</v>
      </c>
      <c r="F25">
        <v>10</v>
      </c>
      <c r="G25">
        <v>13</v>
      </c>
      <c r="H25">
        <v>1</v>
      </c>
      <c r="I25">
        <v>8</v>
      </c>
      <c r="J25">
        <v>4</v>
      </c>
      <c r="K25">
        <v>2</v>
      </c>
      <c r="L25">
        <v>2611.8506620499402</v>
      </c>
      <c r="M25">
        <v>49.338610000000003</v>
      </c>
      <c r="N25">
        <v>1844.0190841385299</v>
      </c>
      <c r="O25">
        <v>65.266763999999995</v>
      </c>
      <c r="P25">
        <v>1</v>
      </c>
      <c r="Q25">
        <v>2.7851666722561501E-2</v>
      </c>
      <c r="R25">
        <v>0.16545894783265999</v>
      </c>
      <c r="S25">
        <v>-9.3057255088374799E-2</v>
      </c>
    </row>
    <row r="26" spans="1:19" x14ac:dyDescent="0.25">
      <c r="A26" t="s">
        <v>29</v>
      </c>
      <c r="B26">
        <v>7253.5</v>
      </c>
      <c r="C26">
        <v>1</v>
      </c>
      <c r="D26">
        <v>138143</v>
      </c>
      <c r="E26">
        <v>3</v>
      </c>
      <c r="F26">
        <v>10</v>
      </c>
      <c r="G26">
        <v>16</v>
      </c>
      <c r="H26">
        <v>0</v>
      </c>
      <c r="I26">
        <v>8</v>
      </c>
      <c r="J26">
        <v>8</v>
      </c>
      <c r="K26">
        <v>1</v>
      </c>
      <c r="L26">
        <v>3153.4471967920199</v>
      </c>
      <c r="M26">
        <v>53.505376999999903</v>
      </c>
      <c r="N26">
        <v>3153.4471967920199</v>
      </c>
      <c r="O26">
        <v>53.505376999999903</v>
      </c>
      <c r="P26">
        <v>4</v>
      </c>
      <c r="Q26">
        <v>0</v>
      </c>
      <c r="R26">
        <v>0</v>
      </c>
      <c r="S26">
        <v>0</v>
      </c>
    </row>
    <row r="27" spans="1:19" x14ac:dyDescent="0.25">
      <c r="A27" t="s">
        <v>30</v>
      </c>
      <c r="B27">
        <v>8721.2000000000007</v>
      </c>
      <c r="C27">
        <v>23553.5</v>
      </c>
      <c r="D27">
        <v>138143</v>
      </c>
      <c r="E27">
        <v>3</v>
      </c>
      <c r="F27">
        <v>10</v>
      </c>
      <c r="G27">
        <v>16</v>
      </c>
      <c r="H27">
        <v>0</v>
      </c>
      <c r="I27">
        <v>14</v>
      </c>
      <c r="J27">
        <v>12</v>
      </c>
      <c r="K27">
        <v>1</v>
      </c>
      <c r="L27">
        <v>3879.3013943994401</v>
      </c>
      <c r="M27">
        <v>97.259748000000002</v>
      </c>
      <c r="N27">
        <v>3037.4932594442698</v>
      </c>
      <c r="O27">
        <v>88.737786999999997</v>
      </c>
      <c r="P27">
        <v>3</v>
      </c>
      <c r="Q27">
        <v>0</v>
      </c>
      <c r="R27">
        <v>0</v>
      </c>
      <c r="S27">
        <v>-7.0157426632018294E-2</v>
      </c>
    </row>
    <row r="28" spans="1:19" x14ac:dyDescent="0.25">
      <c r="A28" t="s">
        <v>31</v>
      </c>
      <c r="B28">
        <v>9136.4</v>
      </c>
      <c r="C28">
        <v>58</v>
      </c>
      <c r="D28">
        <v>138143</v>
      </c>
      <c r="E28">
        <v>3</v>
      </c>
      <c r="F28">
        <v>10</v>
      </c>
      <c r="G28">
        <v>14</v>
      </c>
      <c r="H28">
        <v>2</v>
      </c>
      <c r="I28">
        <v>12</v>
      </c>
      <c r="J28">
        <v>12</v>
      </c>
      <c r="K28">
        <v>2</v>
      </c>
      <c r="L28">
        <v>1374.2523943108699</v>
      </c>
      <c r="M28">
        <v>14.077518</v>
      </c>
      <c r="N28">
        <v>1374.2523943108699</v>
      </c>
      <c r="O28">
        <v>14.077518</v>
      </c>
      <c r="P28">
        <v>2187</v>
      </c>
      <c r="Q28">
        <v>0</v>
      </c>
      <c r="R28">
        <v>0</v>
      </c>
      <c r="S28">
        <v>0</v>
      </c>
    </row>
    <row r="29" spans="1:19" x14ac:dyDescent="0.25">
      <c r="A29" t="s">
        <v>31</v>
      </c>
      <c r="B29">
        <v>9136.4</v>
      </c>
      <c r="C29">
        <v>58</v>
      </c>
      <c r="D29">
        <v>138143</v>
      </c>
      <c r="E29">
        <v>3</v>
      </c>
      <c r="F29">
        <v>10</v>
      </c>
      <c r="G29">
        <v>14</v>
      </c>
      <c r="H29">
        <v>2</v>
      </c>
      <c r="I29">
        <v>12</v>
      </c>
      <c r="J29">
        <v>14</v>
      </c>
      <c r="K29">
        <v>2</v>
      </c>
      <c r="L29">
        <v>1374.2523943108699</v>
      </c>
      <c r="M29">
        <v>14.077518</v>
      </c>
      <c r="N29">
        <v>1171.37113941851</v>
      </c>
      <c r="O29">
        <v>39.443368</v>
      </c>
      <c r="P29">
        <v>2187</v>
      </c>
      <c r="Q29">
        <v>7.2933674989292003E-3</v>
      </c>
      <c r="R29">
        <v>0.12495541608133599</v>
      </c>
      <c r="S29">
        <v>-7.2933674989292003E-3</v>
      </c>
    </row>
    <row r="30" spans="1:19" x14ac:dyDescent="0.25">
      <c r="A30" t="s">
        <v>32</v>
      </c>
      <c r="B30">
        <v>9676.5</v>
      </c>
      <c r="C30">
        <v>59744.2</v>
      </c>
      <c r="D30">
        <v>138143</v>
      </c>
      <c r="E30">
        <v>3</v>
      </c>
      <c r="F30">
        <v>10</v>
      </c>
      <c r="G30">
        <v>15</v>
      </c>
      <c r="H30">
        <v>1</v>
      </c>
      <c r="I30">
        <v>12</v>
      </c>
      <c r="J30">
        <v>10</v>
      </c>
      <c r="K30">
        <v>3</v>
      </c>
      <c r="L30">
        <v>8218.9626212604107</v>
      </c>
      <c r="M30">
        <v>82.612335999999999</v>
      </c>
      <c r="N30">
        <v>8017.6330290566802</v>
      </c>
      <c r="O30">
        <v>73.194023000000001</v>
      </c>
      <c r="P30">
        <v>4</v>
      </c>
      <c r="Q30">
        <v>0</v>
      </c>
      <c r="R30">
        <v>0</v>
      </c>
      <c r="S30">
        <v>-5.7953299844114903E-2</v>
      </c>
    </row>
    <row r="31" spans="1:19" x14ac:dyDescent="0.25">
      <c r="A31" t="s">
        <v>32</v>
      </c>
      <c r="B31">
        <v>9676.5</v>
      </c>
      <c r="C31">
        <v>59744.2</v>
      </c>
      <c r="D31">
        <v>138143</v>
      </c>
      <c r="E31">
        <v>3</v>
      </c>
      <c r="F31">
        <v>10</v>
      </c>
      <c r="G31">
        <v>15</v>
      </c>
      <c r="H31">
        <v>1</v>
      </c>
      <c r="I31">
        <v>12</v>
      </c>
      <c r="J31">
        <v>10</v>
      </c>
      <c r="K31">
        <v>3</v>
      </c>
      <c r="L31">
        <v>8218.9626212604107</v>
      </c>
      <c r="M31">
        <v>82.612335999999999</v>
      </c>
      <c r="N31">
        <v>7902.8913639639304</v>
      </c>
      <c r="O31">
        <v>81.817345999999901</v>
      </c>
      <c r="P31">
        <v>1</v>
      </c>
      <c r="Q31">
        <v>4.2675534438735797E-3</v>
      </c>
      <c r="R31">
        <v>4.6205582729513299E-2</v>
      </c>
      <c r="S31">
        <v>-6.2220853287988397E-2</v>
      </c>
    </row>
    <row r="32" spans="1:19" x14ac:dyDescent="0.25">
      <c r="A32" t="s">
        <v>32</v>
      </c>
      <c r="B32">
        <v>9676.5</v>
      </c>
      <c r="C32">
        <v>59744.2</v>
      </c>
      <c r="D32">
        <v>138143</v>
      </c>
      <c r="E32">
        <v>3</v>
      </c>
      <c r="F32">
        <v>10</v>
      </c>
      <c r="G32">
        <v>15</v>
      </c>
      <c r="H32">
        <v>1</v>
      </c>
      <c r="I32">
        <v>12</v>
      </c>
      <c r="J32">
        <v>8</v>
      </c>
      <c r="K32">
        <v>3</v>
      </c>
      <c r="L32">
        <v>8218.9626212604107</v>
      </c>
      <c r="M32">
        <v>82.612335999999999</v>
      </c>
      <c r="N32">
        <v>7564.5469452298303</v>
      </c>
      <c r="O32">
        <v>108.757989999999</v>
      </c>
      <c r="P32">
        <v>1</v>
      </c>
      <c r="Q32">
        <v>1.2583945755162401E-2</v>
      </c>
      <c r="R32">
        <v>0.14435365057395699</v>
      </c>
      <c r="S32">
        <v>-2.8599216313637599E-2</v>
      </c>
    </row>
    <row r="33" spans="1:19" x14ac:dyDescent="0.25">
      <c r="A33" t="s">
        <v>33</v>
      </c>
      <c r="B33">
        <v>8886.2999999999993</v>
      </c>
      <c r="C33">
        <v>69558.600000000006</v>
      </c>
      <c r="D33">
        <v>138143</v>
      </c>
      <c r="E33">
        <v>3</v>
      </c>
      <c r="F33">
        <v>10</v>
      </c>
      <c r="G33">
        <v>15</v>
      </c>
      <c r="H33">
        <v>1</v>
      </c>
      <c r="I33">
        <v>12</v>
      </c>
      <c r="J33">
        <v>6</v>
      </c>
      <c r="K33">
        <v>2</v>
      </c>
      <c r="L33">
        <v>8643.3221529300499</v>
      </c>
      <c r="M33">
        <v>114.603544999999</v>
      </c>
      <c r="N33">
        <v>7018.5125357528796</v>
      </c>
      <c r="O33">
        <v>90.867236999999903</v>
      </c>
      <c r="P33">
        <v>1</v>
      </c>
      <c r="Q33">
        <v>0</v>
      </c>
      <c r="R33">
        <v>0</v>
      </c>
      <c r="S33">
        <v>-0.16878613482913901</v>
      </c>
    </row>
    <row r="34" spans="1:19" x14ac:dyDescent="0.25">
      <c r="A34" t="s">
        <v>33</v>
      </c>
      <c r="B34">
        <v>8886.2999999999993</v>
      </c>
      <c r="C34">
        <v>69558.600000000006</v>
      </c>
      <c r="D34">
        <v>138143</v>
      </c>
      <c r="E34">
        <v>3</v>
      </c>
      <c r="F34">
        <v>10</v>
      </c>
      <c r="G34">
        <v>15</v>
      </c>
      <c r="H34">
        <v>1</v>
      </c>
      <c r="I34">
        <v>12</v>
      </c>
      <c r="J34">
        <v>4</v>
      </c>
      <c r="K34">
        <v>2</v>
      </c>
      <c r="L34">
        <v>8643.3221529300499</v>
      </c>
      <c r="M34">
        <v>114.603544999999</v>
      </c>
      <c r="N34">
        <v>6318.1456655637803</v>
      </c>
      <c r="O34">
        <v>117.334637</v>
      </c>
      <c r="P34">
        <v>1</v>
      </c>
      <c r="Q34">
        <v>2.5611852347929301E-2</v>
      </c>
      <c r="R34">
        <v>0.12195202079051699</v>
      </c>
      <c r="S34">
        <v>-0.19439798717706799</v>
      </c>
    </row>
    <row r="35" spans="1:19" x14ac:dyDescent="0.25">
      <c r="A35" t="s">
        <v>34</v>
      </c>
      <c r="B35">
        <v>9080.6</v>
      </c>
      <c r="C35">
        <v>83612</v>
      </c>
      <c r="D35">
        <v>138143</v>
      </c>
      <c r="E35">
        <v>3</v>
      </c>
      <c r="F35">
        <v>10</v>
      </c>
      <c r="G35">
        <v>13</v>
      </c>
      <c r="H35">
        <v>1</v>
      </c>
      <c r="I35">
        <v>8</v>
      </c>
      <c r="J35">
        <v>6</v>
      </c>
      <c r="K35">
        <v>2</v>
      </c>
      <c r="L35">
        <v>4040.7451009360002</v>
      </c>
      <c r="M35">
        <v>53.137871999999902</v>
      </c>
      <c r="N35">
        <v>4040.7451009360002</v>
      </c>
      <c r="O35">
        <v>45.096829999999997</v>
      </c>
      <c r="P35">
        <v>1</v>
      </c>
      <c r="Q35">
        <v>0</v>
      </c>
      <c r="R35">
        <v>0</v>
      </c>
      <c r="S35">
        <v>-4.9182248318926702E-2</v>
      </c>
    </row>
    <row r="36" spans="1:19" x14ac:dyDescent="0.25">
      <c r="A36" t="s">
        <v>34</v>
      </c>
      <c r="B36">
        <v>9080.6</v>
      </c>
      <c r="C36">
        <v>83612</v>
      </c>
      <c r="D36">
        <v>138143</v>
      </c>
      <c r="E36">
        <v>3</v>
      </c>
      <c r="F36">
        <v>10</v>
      </c>
      <c r="G36">
        <v>13</v>
      </c>
      <c r="H36">
        <v>1</v>
      </c>
      <c r="I36">
        <v>8</v>
      </c>
      <c r="J36">
        <v>4</v>
      </c>
      <c r="K36">
        <v>2</v>
      </c>
      <c r="L36">
        <v>4040.7451009360002</v>
      </c>
      <c r="M36">
        <v>53.137871999999902</v>
      </c>
      <c r="N36">
        <v>3380.83231483495</v>
      </c>
      <c r="O36">
        <v>70.176040999999998</v>
      </c>
      <c r="P36">
        <v>1</v>
      </c>
      <c r="Q36">
        <v>2.52700241091653E-2</v>
      </c>
      <c r="R36">
        <v>0.15339454551347401</v>
      </c>
      <c r="S36">
        <v>-7.4452272428092006E-2</v>
      </c>
    </row>
    <row r="37" spans="1:19" x14ac:dyDescent="0.25">
      <c r="A37" t="s">
        <v>35</v>
      </c>
      <c r="B37">
        <v>7979.9</v>
      </c>
      <c r="C37">
        <v>61877.3</v>
      </c>
      <c r="D37">
        <v>138143</v>
      </c>
      <c r="E37">
        <v>3</v>
      </c>
      <c r="F37">
        <v>10</v>
      </c>
      <c r="G37">
        <v>13</v>
      </c>
      <c r="H37">
        <v>1</v>
      </c>
      <c r="I37">
        <v>8</v>
      </c>
      <c r="J37">
        <v>6</v>
      </c>
      <c r="K37">
        <v>6</v>
      </c>
      <c r="L37">
        <v>2512.7925186285902</v>
      </c>
      <c r="M37">
        <v>51.935546000000002</v>
      </c>
      <c r="N37">
        <v>2640.2471006350002</v>
      </c>
      <c r="O37">
        <v>42.112018999999997</v>
      </c>
      <c r="P37">
        <v>1</v>
      </c>
      <c r="Q37">
        <v>0</v>
      </c>
      <c r="R37">
        <v>0</v>
      </c>
      <c r="S37">
        <v>-5.09252745306095E-2</v>
      </c>
    </row>
    <row r="38" spans="1:19" x14ac:dyDescent="0.25">
      <c r="A38" t="s">
        <v>35</v>
      </c>
      <c r="B38">
        <v>7979.9</v>
      </c>
      <c r="C38">
        <v>61877.3</v>
      </c>
      <c r="D38">
        <v>138143</v>
      </c>
      <c r="E38">
        <v>3</v>
      </c>
      <c r="F38">
        <v>10</v>
      </c>
      <c r="G38">
        <v>13</v>
      </c>
      <c r="H38">
        <v>1</v>
      </c>
      <c r="I38">
        <v>8</v>
      </c>
      <c r="J38">
        <v>8</v>
      </c>
      <c r="K38">
        <v>6</v>
      </c>
      <c r="L38">
        <v>2512.7925186285902</v>
      </c>
      <c r="M38">
        <v>51.935546000000002</v>
      </c>
      <c r="N38">
        <v>2514.2990434877302</v>
      </c>
      <c r="O38">
        <v>44.710146999999999</v>
      </c>
      <c r="P38">
        <v>2</v>
      </c>
      <c r="Q38">
        <v>4.7364574239095398E-3</v>
      </c>
      <c r="R38">
        <v>1.47364079456588E-2</v>
      </c>
      <c r="S38">
        <v>-5.5661731954518998E-2</v>
      </c>
    </row>
    <row r="39" spans="1:19" x14ac:dyDescent="0.25">
      <c r="A39" t="s">
        <v>35</v>
      </c>
      <c r="B39">
        <v>7979.9</v>
      </c>
      <c r="C39">
        <v>61877.3</v>
      </c>
      <c r="D39">
        <v>138143</v>
      </c>
      <c r="E39">
        <v>3</v>
      </c>
      <c r="F39">
        <v>10</v>
      </c>
      <c r="G39">
        <v>13</v>
      </c>
      <c r="H39">
        <v>1</v>
      </c>
      <c r="I39">
        <v>8</v>
      </c>
      <c r="J39">
        <v>8</v>
      </c>
      <c r="K39">
        <v>6</v>
      </c>
      <c r="L39">
        <v>2512.7925186285902</v>
      </c>
      <c r="M39">
        <v>51.935546000000002</v>
      </c>
      <c r="N39">
        <v>2512.7925186285902</v>
      </c>
      <c r="O39">
        <v>51.935546000000002</v>
      </c>
      <c r="P39">
        <v>2</v>
      </c>
      <c r="Q39" s="1">
        <v>5.6655029184185503E-5</v>
      </c>
      <c r="R39">
        <v>4.0981979038044299E-2</v>
      </c>
      <c r="S39">
        <v>-4.0981979038044299E-2</v>
      </c>
    </row>
    <row r="40" spans="1:19" x14ac:dyDescent="0.25">
      <c r="A40" t="s">
        <v>35</v>
      </c>
      <c r="B40">
        <v>7979.9</v>
      </c>
      <c r="C40">
        <v>61877.3</v>
      </c>
      <c r="D40">
        <v>138143</v>
      </c>
      <c r="E40">
        <v>3</v>
      </c>
      <c r="F40">
        <v>10</v>
      </c>
      <c r="G40">
        <v>13</v>
      </c>
      <c r="H40">
        <v>1</v>
      </c>
      <c r="I40">
        <v>8</v>
      </c>
      <c r="J40">
        <v>4</v>
      </c>
      <c r="K40">
        <v>6</v>
      </c>
      <c r="L40">
        <v>2512.7925186285902</v>
      </c>
      <c r="M40">
        <v>51.935546000000002</v>
      </c>
      <c r="N40">
        <v>1634.1894784286501</v>
      </c>
      <c r="O40">
        <v>67.399118999999999</v>
      </c>
      <c r="P40">
        <v>1</v>
      </c>
      <c r="Q40">
        <v>3.30411281180664E-2</v>
      </c>
      <c r="R40">
        <v>8.7708350021814596E-2</v>
      </c>
      <c r="S40">
        <v>-3.30411281180664E-2</v>
      </c>
    </row>
    <row r="41" spans="1:19" x14ac:dyDescent="0.25">
      <c r="A41" t="s">
        <v>35</v>
      </c>
      <c r="B41">
        <v>7979.9</v>
      </c>
      <c r="C41">
        <v>61877.3</v>
      </c>
      <c r="D41">
        <v>138143</v>
      </c>
      <c r="E41">
        <v>3</v>
      </c>
      <c r="F41">
        <v>10</v>
      </c>
      <c r="G41">
        <v>13</v>
      </c>
      <c r="H41">
        <v>1</v>
      </c>
      <c r="I41">
        <v>8</v>
      </c>
      <c r="J41">
        <v>6</v>
      </c>
      <c r="K41">
        <v>6</v>
      </c>
      <c r="L41">
        <v>2512.7925186285902</v>
      </c>
      <c r="M41">
        <v>51.935546000000002</v>
      </c>
      <c r="N41">
        <v>1502.7925208474401</v>
      </c>
      <c r="O41">
        <v>69.997247000000002</v>
      </c>
      <c r="P41">
        <v>2</v>
      </c>
      <c r="Q41">
        <v>4.9413711438749596E-3</v>
      </c>
      <c r="R41">
        <v>1.47364079456588E-2</v>
      </c>
      <c r="S41">
        <v>4.9725850759873201E-2</v>
      </c>
    </row>
    <row r="42" spans="1:19" x14ac:dyDescent="0.25">
      <c r="A42" t="s">
        <v>35</v>
      </c>
      <c r="B42">
        <v>7979.9</v>
      </c>
      <c r="C42">
        <v>61877.3</v>
      </c>
      <c r="D42">
        <v>138143</v>
      </c>
      <c r="E42">
        <v>3</v>
      </c>
      <c r="F42">
        <v>10</v>
      </c>
      <c r="G42">
        <v>13</v>
      </c>
      <c r="H42">
        <v>1</v>
      </c>
      <c r="I42">
        <v>8</v>
      </c>
      <c r="J42">
        <v>6</v>
      </c>
      <c r="K42">
        <v>6</v>
      </c>
      <c r="L42">
        <v>2512.7925186285902</v>
      </c>
      <c r="M42">
        <v>51.935546000000002</v>
      </c>
      <c r="N42">
        <v>1501.2208190880499</v>
      </c>
      <c r="O42">
        <v>77.222645999999997</v>
      </c>
      <c r="P42">
        <v>2</v>
      </c>
      <c r="Q42" s="1">
        <v>5.9106100046980797E-5</v>
      </c>
      <c r="R42">
        <v>4.0981979038044299E-2</v>
      </c>
      <c r="S42">
        <v>6.4403152605485001E-2</v>
      </c>
    </row>
    <row r="43" spans="1:19" x14ac:dyDescent="0.25">
      <c r="A43" t="s">
        <v>36</v>
      </c>
      <c r="B43">
        <v>7008.9</v>
      </c>
      <c r="C43">
        <v>53759.4</v>
      </c>
      <c r="D43">
        <v>138143</v>
      </c>
      <c r="E43">
        <v>3</v>
      </c>
      <c r="F43">
        <v>10</v>
      </c>
      <c r="G43">
        <v>13</v>
      </c>
      <c r="H43">
        <v>0</v>
      </c>
      <c r="I43">
        <v>8</v>
      </c>
      <c r="J43">
        <v>6</v>
      </c>
      <c r="K43">
        <v>2</v>
      </c>
      <c r="L43">
        <v>3587.8620796581499</v>
      </c>
      <c r="M43">
        <v>51.458593999999998</v>
      </c>
      <c r="N43">
        <v>3587.8620796581499</v>
      </c>
      <c r="O43">
        <v>39.787554</v>
      </c>
      <c r="P43">
        <v>1</v>
      </c>
      <c r="Q43">
        <v>0</v>
      </c>
      <c r="R43">
        <v>0</v>
      </c>
      <c r="S43">
        <v>-6.2977378399238906E-2</v>
      </c>
    </row>
    <row r="44" spans="1:19" x14ac:dyDescent="0.25">
      <c r="A44" t="s">
        <v>36</v>
      </c>
      <c r="B44">
        <v>7008.9</v>
      </c>
      <c r="C44">
        <v>53759.4</v>
      </c>
      <c r="D44">
        <v>138143</v>
      </c>
      <c r="E44">
        <v>3</v>
      </c>
      <c r="F44">
        <v>10</v>
      </c>
      <c r="G44">
        <v>13</v>
      </c>
      <c r="H44">
        <v>0</v>
      </c>
      <c r="I44">
        <v>8</v>
      </c>
      <c r="J44">
        <v>4</v>
      </c>
      <c r="K44">
        <v>2</v>
      </c>
      <c r="L44">
        <v>3587.8620796581499</v>
      </c>
      <c r="M44">
        <v>51.458593999999998</v>
      </c>
      <c r="N44">
        <v>2538.5286998717902</v>
      </c>
      <c r="O44">
        <v>66.112392999999997</v>
      </c>
      <c r="P44">
        <v>1</v>
      </c>
      <c r="Q44">
        <v>3.8005817677999897E-2</v>
      </c>
      <c r="R44">
        <v>0.14204983848929001</v>
      </c>
      <c r="S44">
        <v>-0.100983196077238</v>
      </c>
    </row>
    <row r="45" spans="1:19" x14ac:dyDescent="0.25">
      <c r="A45" t="s">
        <v>37</v>
      </c>
      <c r="B45">
        <v>8780.6</v>
      </c>
      <c r="C45">
        <v>80339.199999999997</v>
      </c>
      <c r="D45">
        <v>138143</v>
      </c>
      <c r="E45">
        <v>3</v>
      </c>
      <c r="F45">
        <v>10</v>
      </c>
      <c r="G45">
        <v>13</v>
      </c>
      <c r="H45">
        <v>1</v>
      </c>
      <c r="I45">
        <v>8</v>
      </c>
      <c r="J45">
        <v>6</v>
      </c>
      <c r="K45">
        <v>2</v>
      </c>
      <c r="L45">
        <v>1991.28347347922</v>
      </c>
      <c r="M45">
        <v>49.890115000000002</v>
      </c>
      <c r="N45">
        <v>1991.28347347922</v>
      </c>
      <c r="O45">
        <v>41.088901</v>
      </c>
      <c r="P45">
        <v>1</v>
      </c>
      <c r="Q45">
        <v>0</v>
      </c>
      <c r="R45">
        <v>0</v>
      </c>
      <c r="S45">
        <v>-4.5668892885876299E-2</v>
      </c>
    </row>
    <row r="46" spans="1:19" x14ac:dyDescent="0.25">
      <c r="A46" t="s">
        <v>37</v>
      </c>
      <c r="B46">
        <v>8780.6</v>
      </c>
      <c r="C46">
        <v>80339.199999999997</v>
      </c>
      <c r="D46">
        <v>138143</v>
      </c>
      <c r="E46">
        <v>3</v>
      </c>
      <c r="F46">
        <v>10</v>
      </c>
      <c r="G46">
        <v>13</v>
      </c>
      <c r="H46">
        <v>1</v>
      </c>
      <c r="I46">
        <v>8</v>
      </c>
      <c r="J46">
        <v>4</v>
      </c>
      <c r="K46">
        <v>2</v>
      </c>
      <c r="L46">
        <v>1991.28347347922</v>
      </c>
      <c r="M46">
        <v>49.890115000000002</v>
      </c>
      <c r="N46">
        <v>1685.9752113780801</v>
      </c>
      <c r="O46">
        <v>67.987554000000003</v>
      </c>
      <c r="P46">
        <v>1</v>
      </c>
      <c r="Q46">
        <v>1.1074349542589301E-2</v>
      </c>
      <c r="R46">
        <v>0.13957525662157</v>
      </c>
      <c r="S46">
        <v>-5.67432424284657E-2</v>
      </c>
    </row>
    <row r="47" spans="1:19" x14ac:dyDescent="0.25">
      <c r="A47" t="s">
        <v>38</v>
      </c>
      <c r="B47">
        <v>9298.2999999999993</v>
      </c>
      <c r="C47">
        <v>65382.8</v>
      </c>
      <c r="D47">
        <v>138143</v>
      </c>
      <c r="E47">
        <v>3</v>
      </c>
      <c r="F47">
        <v>10</v>
      </c>
      <c r="G47">
        <v>13</v>
      </c>
      <c r="H47">
        <v>1</v>
      </c>
      <c r="I47">
        <v>8</v>
      </c>
      <c r="J47">
        <v>14</v>
      </c>
      <c r="K47">
        <v>4</v>
      </c>
      <c r="L47">
        <v>5779.8238279950701</v>
      </c>
      <c r="M47">
        <v>52.007044</v>
      </c>
      <c r="N47">
        <v>6355.3144112924801</v>
      </c>
      <c r="O47">
        <v>48.080286999999998</v>
      </c>
      <c r="P47">
        <v>16</v>
      </c>
      <c r="Q47">
        <v>0</v>
      </c>
      <c r="R47">
        <v>0</v>
      </c>
      <c r="S47">
        <v>1.71775561903464E-3</v>
      </c>
    </row>
    <row r="48" spans="1:19" x14ac:dyDescent="0.25">
      <c r="A48" t="s">
        <v>38</v>
      </c>
      <c r="B48">
        <v>9298.2999999999993</v>
      </c>
      <c r="C48">
        <v>65382.8</v>
      </c>
      <c r="D48">
        <v>138143</v>
      </c>
      <c r="E48">
        <v>3</v>
      </c>
      <c r="F48">
        <v>10</v>
      </c>
      <c r="G48">
        <v>13</v>
      </c>
      <c r="H48">
        <v>1</v>
      </c>
      <c r="I48">
        <v>8</v>
      </c>
      <c r="J48">
        <v>8</v>
      </c>
      <c r="K48">
        <v>4</v>
      </c>
      <c r="L48">
        <v>5779.8238279950701</v>
      </c>
      <c r="M48">
        <v>52.007044</v>
      </c>
      <c r="N48">
        <v>5779.8238279950701</v>
      </c>
      <c r="O48">
        <v>52.007044</v>
      </c>
      <c r="P48">
        <v>2</v>
      </c>
      <c r="Q48">
        <v>2.30667126223363E-2</v>
      </c>
      <c r="R48">
        <v>2.13489570033016E-2</v>
      </c>
      <c r="S48">
        <v>-2.13489570033016E-2</v>
      </c>
    </row>
    <row r="49" spans="1:19" x14ac:dyDescent="0.25">
      <c r="A49" t="s">
        <v>38</v>
      </c>
      <c r="B49">
        <v>9298.2999999999993</v>
      </c>
      <c r="C49">
        <v>65382.8</v>
      </c>
      <c r="D49">
        <v>138143</v>
      </c>
      <c r="E49">
        <v>3</v>
      </c>
      <c r="F49">
        <v>10</v>
      </c>
      <c r="G49">
        <v>13</v>
      </c>
      <c r="H49">
        <v>1</v>
      </c>
      <c r="I49">
        <v>8</v>
      </c>
      <c r="J49">
        <v>8</v>
      </c>
      <c r="K49">
        <v>4</v>
      </c>
      <c r="L49">
        <v>5779.8238279950701</v>
      </c>
      <c r="M49">
        <v>52.007044</v>
      </c>
      <c r="N49">
        <v>5528.2342453132896</v>
      </c>
      <c r="O49">
        <v>55.054989999999997</v>
      </c>
      <c r="P49">
        <v>1</v>
      </c>
      <c r="Q49">
        <v>1.00841695258373E-2</v>
      </c>
      <c r="R49">
        <v>1.6571045293198802E-2</v>
      </c>
      <c r="S49">
        <v>-1.00841695258373E-2</v>
      </c>
    </row>
    <row r="50" spans="1:19" x14ac:dyDescent="0.25">
      <c r="A50" t="s">
        <v>38</v>
      </c>
      <c r="B50">
        <v>9298.2999999999993</v>
      </c>
      <c r="C50">
        <v>65382.8</v>
      </c>
      <c r="D50">
        <v>138143</v>
      </c>
      <c r="E50">
        <v>3</v>
      </c>
      <c r="F50">
        <v>10</v>
      </c>
      <c r="G50">
        <v>13</v>
      </c>
      <c r="H50">
        <v>1</v>
      </c>
      <c r="I50">
        <v>8</v>
      </c>
      <c r="J50">
        <v>6</v>
      </c>
      <c r="K50">
        <v>4</v>
      </c>
      <c r="L50">
        <v>5779.8238279950701</v>
      </c>
      <c r="M50">
        <v>52.007044</v>
      </c>
      <c r="N50">
        <v>5265.6235908571598</v>
      </c>
      <c r="O50">
        <v>81.500620999999995</v>
      </c>
      <c r="P50">
        <v>2</v>
      </c>
      <c r="Q50">
        <v>1.0525914191670699E-2</v>
      </c>
      <c r="R50">
        <v>0.14377936784582801</v>
      </c>
      <c r="S50">
        <v>-4.0390384243092397E-3</v>
      </c>
    </row>
    <row r="51" spans="1:19" x14ac:dyDescent="0.25">
      <c r="A51" t="s">
        <v>39</v>
      </c>
      <c r="B51">
        <v>8333.1</v>
      </c>
      <c r="C51">
        <v>499.8</v>
      </c>
      <c r="D51">
        <v>138143</v>
      </c>
      <c r="E51">
        <v>3</v>
      </c>
      <c r="F51">
        <v>10</v>
      </c>
      <c r="G51">
        <v>14</v>
      </c>
      <c r="H51">
        <v>1</v>
      </c>
      <c r="I51">
        <v>12</v>
      </c>
      <c r="J51">
        <v>16</v>
      </c>
      <c r="K51">
        <v>1</v>
      </c>
      <c r="L51">
        <v>3542.20113302972</v>
      </c>
      <c r="M51">
        <v>62.046998000000002</v>
      </c>
      <c r="N51">
        <v>2764.64009785083</v>
      </c>
      <c r="O51">
        <v>52.492875999999903</v>
      </c>
      <c r="P51">
        <v>243</v>
      </c>
      <c r="Q51">
        <v>0</v>
      </c>
      <c r="R51">
        <v>0</v>
      </c>
      <c r="S51">
        <v>-8.1422734653116793E-2</v>
      </c>
    </row>
    <row r="52" spans="1:19" x14ac:dyDescent="0.25">
      <c r="A52" t="s">
        <v>40</v>
      </c>
      <c r="B52">
        <v>9040.1</v>
      </c>
      <c r="C52">
        <v>60890</v>
      </c>
      <c r="D52">
        <v>138143</v>
      </c>
      <c r="E52">
        <v>3</v>
      </c>
      <c r="F52">
        <v>10</v>
      </c>
      <c r="G52">
        <v>13</v>
      </c>
      <c r="H52">
        <v>1</v>
      </c>
      <c r="I52">
        <v>8</v>
      </c>
      <c r="J52">
        <v>6</v>
      </c>
      <c r="K52">
        <v>2</v>
      </c>
      <c r="L52">
        <v>6411.0652312663997</v>
      </c>
      <c r="M52">
        <v>51.212243999999998</v>
      </c>
      <c r="N52">
        <v>5609.3694044990798</v>
      </c>
      <c r="O52">
        <v>41.588569999999997</v>
      </c>
      <c r="P52">
        <v>1</v>
      </c>
      <c r="Q52">
        <v>0</v>
      </c>
      <c r="R52">
        <v>0</v>
      </c>
      <c r="S52">
        <v>-7.9931562768830705E-2</v>
      </c>
    </row>
    <row r="53" spans="1:19" x14ac:dyDescent="0.25">
      <c r="A53" t="s">
        <v>40</v>
      </c>
      <c r="B53">
        <v>9040.1</v>
      </c>
      <c r="C53">
        <v>60890</v>
      </c>
      <c r="D53">
        <v>138143</v>
      </c>
      <c r="E53">
        <v>3</v>
      </c>
      <c r="F53">
        <v>10</v>
      </c>
      <c r="G53">
        <v>13</v>
      </c>
      <c r="H53">
        <v>1</v>
      </c>
      <c r="I53">
        <v>8</v>
      </c>
      <c r="J53">
        <v>4</v>
      </c>
      <c r="K53">
        <v>2</v>
      </c>
      <c r="L53">
        <v>6411.0652312663997</v>
      </c>
      <c r="M53">
        <v>51.212243999999998</v>
      </c>
      <c r="N53">
        <v>4962.2046552674601</v>
      </c>
      <c r="O53">
        <v>66.600977</v>
      </c>
      <c r="P53">
        <v>1</v>
      </c>
      <c r="Q53">
        <v>2.6005172632766398E-2</v>
      </c>
      <c r="R53">
        <v>0.124018416921148</v>
      </c>
      <c r="S53">
        <v>-0.105936735401597</v>
      </c>
    </row>
    <row r="54" spans="1:19" x14ac:dyDescent="0.25">
      <c r="A54" t="s">
        <v>41</v>
      </c>
      <c r="B54">
        <v>9287.4</v>
      </c>
      <c r="C54">
        <v>32806.800000000003</v>
      </c>
      <c r="D54">
        <v>138143</v>
      </c>
      <c r="E54">
        <v>3</v>
      </c>
      <c r="F54">
        <v>10</v>
      </c>
      <c r="G54">
        <v>13</v>
      </c>
      <c r="H54">
        <v>1</v>
      </c>
      <c r="I54">
        <v>8</v>
      </c>
      <c r="J54">
        <v>6</v>
      </c>
      <c r="K54">
        <v>1</v>
      </c>
      <c r="L54">
        <v>2283.4715305336099</v>
      </c>
      <c r="M54">
        <v>49.272967999999999</v>
      </c>
      <c r="N54">
        <v>1862.22249963382</v>
      </c>
      <c r="O54">
        <v>38.311780999999897</v>
      </c>
      <c r="P54">
        <v>1</v>
      </c>
      <c r="Q54">
        <v>0</v>
      </c>
      <c r="R54">
        <v>0</v>
      </c>
      <c r="S54">
        <v>-7.5778432095189294E-2</v>
      </c>
    </row>
    <row r="55" spans="1:19" x14ac:dyDescent="0.25">
      <c r="A55" t="s">
        <v>42</v>
      </c>
      <c r="B55">
        <v>8291.9</v>
      </c>
      <c r="C55">
        <v>57992.7</v>
      </c>
      <c r="D55">
        <v>138143</v>
      </c>
      <c r="E55">
        <v>3</v>
      </c>
      <c r="F55">
        <v>10</v>
      </c>
      <c r="G55">
        <v>13</v>
      </c>
      <c r="H55">
        <v>1</v>
      </c>
      <c r="I55">
        <v>8</v>
      </c>
      <c r="J55">
        <v>6</v>
      </c>
      <c r="K55">
        <v>2</v>
      </c>
      <c r="L55">
        <v>4783.5999003730503</v>
      </c>
      <c r="M55">
        <v>52.557466999999903</v>
      </c>
      <c r="N55">
        <v>4783.5999003730503</v>
      </c>
      <c r="O55">
        <v>40.574512999999897</v>
      </c>
      <c r="P55">
        <v>1</v>
      </c>
      <c r="Q55">
        <v>0</v>
      </c>
      <c r="R55">
        <v>0</v>
      </c>
      <c r="S55">
        <v>-6.9179200443903105E-2</v>
      </c>
    </row>
    <row r="56" spans="1:19" x14ac:dyDescent="0.25">
      <c r="A56" t="s">
        <v>42</v>
      </c>
      <c r="B56">
        <v>8291.9</v>
      </c>
      <c r="C56">
        <v>57992.7</v>
      </c>
      <c r="D56">
        <v>138143</v>
      </c>
      <c r="E56">
        <v>3</v>
      </c>
      <c r="F56">
        <v>10</v>
      </c>
      <c r="G56">
        <v>13</v>
      </c>
      <c r="H56">
        <v>1</v>
      </c>
      <c r="I56">
        <v>8</v>
      </c>
      <c r="J56">
        <v>4</v>
      </c>
      <c r="K56">
        <v>2</v>
      </c>
      <c r="L56">
        <v>4783.5999003730503</v>
      </c>
      <c r="M56">
        <v>52.557466999999903</v>
      </c>
      <c r="N56">
        <v>4357.9627698713402</v>
      </c>
      <c r="O56">
        <v>67.381125999999995</v>
      </c>
      <c r="P56">
        <v>1</v>
      </c>
      <c r="Q56">
        <v>1.5418127251462301E-2</v>
      </c>
      <c r="R56">
        <v>0.15475817181215401</v>
      </c>
      <c r="S56">
        <v>-8.4597327695365501E-2</v>
      </c>
    </row>
    <row r="57" spans="1:19" x14ac:dyDescent="0.25">
      <c r="A57" t="s">
        <v>43</v>
      </c>
      <c r="B57">
        <v>7642.2</v>
      </c>
      <c r="C57">
        <v>19804.7</v>
      </c>
      <c r="D57">
        <v>138143</v>
      </c>
      <c r="E57">
        <v>3</v>
      </c>
      <c r="F57">
        <v>10</v>
      </c>
      <c r="G57">
        <v>14</v>
      </c>
      <c r="H57">
        <v>1</v>
      </c>
      <c r="I57">
        <v>8</v>
      </c>
      <c r="J57">
        <v>12</v>
      </c>
      <c r="K57">
        <v>2</v>
      </c>
      <c r="L57">
        <v>2015.0789563830201</v>
      </c>
      <c r="M57">
        <v>46.817751999999999</v>
      </c>
      <c r="N57">
        <v>2015.0789563830201</v>
      </c>
      <c r="O57">
        <v>42.590666999999897</v>
      </c>
      <c r="P57">
        <v>8</v>
      </c>
      <c r="Q57">
        <v>0</v>
      </c>
      <c r="R57">
        <v>0</v>
      </c>
      <c r="S57">
        <v>-2.28849227648305E-2</v>
      </c>
    </row>
    <row r="58" spans="1:19" x14ac:dyDescent="0.25">
      <c r="A58" t="s">
        <v>43</v>
      </c>
      <c r="B58">
        <v>7642.2</v>
      </c>
      <c r="C58">
        <v>19804.7</v>
      </c>
      <c r="D58">
        <v>138143</v>
      </c>
      <c r="E58">
        <v>3</v>
      </c>
      <c r="F58">
        <v>10</v>
      </c>
      <c r="G58">
        <v>14</v>
      </c>
      <c r="H58">
        <v>1</v>
      </c>
      <c r="I58">
        <v>8</v>
      </c>
      <c r="J58">
        <v>10</v>
      </c>
      <c r="K58">
        <v>2</v>
      </c>
      <c r="L58">
        <v>2015.0789563830201</v>
      </c>
      <c r="M58">
        <v>46.817751999999999</v>
      </c>
      <c r="N58">
        <v>1959.94570280834</v>
      </c>
      <c r="O58">
        <v>68.406597000000005</v>
      </c>
      <c r="P58">
        <v>8</v>
      </c>
      <c r="Q58">
        <v>2.01680046218598E-3</v>
      </c>
      <c r="R58">
        <v>0.13976429718169101</v>
      </c>
      <c r="S58">
        <v>-2.4901723227016399E-2</v>
      </c>
    </row>
    <row r="59" spans="1:19" x14ac:dyDescent="0.25">
      <c r="A59" t="s">
        <v>44</v>
      </c>
      <c r="B59">
        <v>8540.9</v>
      </c>
      <c r="C59">
        <v>18308.5</v>
      </c>
      <c r="D59">
        <v>138143</v>
      </c>
      <c r="E59">
        <v>3</v>
      </c>
      <c r="F59">
        <v>10</v>
      </c>
      <c r="G59">
        <v>14</v>
      </c>
      <c r="H59">
        <v>1</v>
      </c>
      <c r="I59">
        <v>12</v>
      </c>
      <c r="J59">
        <v>10</v>
      </c>
      <c r="K59">
        <v>1</v>
      </c>
      <c r="L59">
        <v>3432.86829462575</v>
      </c>
      <c r="M59">
        <v>60.599151999999997</v>
      </c>
      <c r="N59">
        <v>2544.1291165858402</v>
      </c>
      <c r="O59">
        <v>50.578141000000002</v>
      </c>
      <c r="P59">
        <v>6</v>
      </c>
      <c r="Q59">
        <v>0</v>
      </c>
      <c r="R59">
        <v>0</v>
      </c>
      <c r="S59">
        <v>-9.0100842728086106E-2</v>
      </c>
    </row>
    <row r="60" spans="1:19" x14ac:dyDescent="0.25">
      <c r="A60" t="s">
        <v>45</v>
      </c>
      <c r="B60">
        <v>8233.7999999999993</v>
      </c>
      <c r="C60">
        <v>988.8</v>
      </c>
      <c r="D60">
        <v>138143</v>
      </c>
      <c r="E60">
        <v>3</v>
      </c>
      <c r="F60">
        <v>10</v>
      </c>
      <c r="G60">
        <v>14</v>
      </c>
      <c r="H60">
        <v>1</v>
      </c>
      <c r="I60">
        <v>12</v>
      </c>
      <c r="J60">
        <v>12</v>
      </c>
      <c r="K60">
        <v>1</v>
      </c>
      <c r="L60">
        <v>305.91278962449599</v>
      </c>
      <c r="M60">
        <v>12.936418</v>
      </c>
      <c r="N60">
        <v>305.91278962449599</v>
      </c>
      <c r="O60">
        <v>0.62518099999999999</v>
      </c>
      <c r="P60">
        <v>81</v>
      </c>
      <c r="Q60">
        <v>0</v>
      </c>
      <c r="R60">
        <v>0</v>
      </c>
      <c r="S60">
        <v>-7.8825143426697594E-2</v>
      </c>
    </row>
    <row r="61" spans="1:19" x14ac:dyDescent="0.25">
      <c r="A61" t="s">
        <v>46</v>
      </c>
      <c r="B61">
        <v>8521.4</v>
      </c>
      <c r="C61">
        <v>902.4</v>
      </c>
      <c r="D61">
        <v>138143</v>
      </c>
      <c r="E61">
        <v>3</v>
      </c>
      <c r="F61">
        <v>10</v>
      </c>
      <c r="G61">
        <v>15</v>
      </c>
      <c r="H61">
        <v>1</v>
      </c>
      <c r="I61">
        <v>12</v>
      </c>
      <c r="J61">
        <v>16</v>
      </c>
      <c r="K61">
        <v>2</v>
      </c>
      <c r="L61">
        <v>5628.0667684740001</v>
      </c>
      <c r="M61">
        <v>53.601762999999998</v>
      </c>
      <c r="N61">
        <v>4934.1820537547901</v>
      </c>
      <c r="O61">
        <v>42.725321999999998</v>
      </c>
      <c r="P61">
        <v>243</v>
      </c>
      <c r="Q61">
        <v>0</v>
      </c>
      <c r="R61">
        <v>0</v>
      </c>
      <c r="S61">
        <v>-9.2269457493604295E-2</v>
      </c>
    </row>
    <row r="62" spans="1:19" x14ac:dyDescent="0.25">
      <c r="A62" t="s">
        <v>46</v>
      </c>
      <c r="B62">
        <v>8521.4</v>
      </c>
      <c r="C62">
        <v>902.4</v>
      </c>
      <c r="D62">
        <v>138143</v>
      </c>
      <c r="E62">
        <v>3</v>
      </c>
      <c r="F62">
        <v>10</v>
      </c>
      <c r="G62">
        <v>15</v>
      </c>
      <c r="H62">
        <v>1</v>
      </c>
      <c r="I62">
        <v>12</v>
      </c>
      <c r="J62">
        <v>18</v>
      </c>
      <c r="K62">
        <v>2</v>
      </c>
      <c r="L62">
        <v>5628.0667684740001</v>
      </c>
      <c r="M62">
        <v>53.601762999999998</v>
      </c>
      <c r="N62">
        <v>4620.1842120416304</v>
      </c>
      <c r="O62">
        <v>69.360147999999995</v>
      </c>
      <c r="P62">
        <v>243</v>
      </c>
      <c r="Q62">
        <v>1.17465140114333E-2</v>
      </c>
      <c r="R62">
        <v>0.16238736829092701</v>
      </c>
      <c r="S62">
        <v>-0.104015971505037</v>
      </c>
    </row>
    <row r="63" spans="1:19" x14ac:dyDescent="0.25">
      <c r="A63" t="s">
        <v>47</v>
      </c>
      <c r="B63">
        <v>9760.7999999999993</v>
      </c>
      <c r="C63">
        <v>66401.399999999994</v>
      </c>
      <c r="D63">
        <v>138143</v>
      </c>
      <c r="E63">
        <v>3</v>
      </c>
      <c r="F63">
        <v>10</v>
      </c>
      <c r="G63">
        <v>14</v>
      </c>
      <c r="H63">
        <v>1</v>
      </c>
      <c r="I63">
        <v>12</v>
      </c>
      <c r="J63">
        <v>14</v>
      </c>
      <c r="K63">
        <v>3</v>
      </c>
      <c r="L63">
        <v>7702.3579735064404</v>
      </c>
      <c r="M63">
        <v>84.384523000000002</v>
      </c>
      <c r="N63">
        <v>8149.5489321579398</v>
      </c>
      <c r="O63">
        <v>69.441888000000006</v>
      </c>
      <c r="P63">
        <v>12</v>
      </c>
      <c r="Q63">
        <v>0</v>
      </c>
      <c r="R63">
        <v>0</v>
      </c>
      <c r="S63">
        <v>-6.6652377949320205E-2</v>
      </c>
    </row>
    <row r="64" spans="1:19" x14ac:dyDescent="0.25">
      <c r="A64" t="s">
        <v>47</v>
      </c>
      <c r="B64">
        <v>9760.7999999999993</v>
      </c>
      <c r="C64">
        <v>66401.399999999994</v>
      </c>
      <c r="D64">
        <v>138143</v>
      </c>
      <c r="E64">
        <v>3</v>
      </c>
      <c r="F64">
        <v>10</v>
      </c>
      <c r="G64">
        <v>14</v>
      </c>
      <c r="H64">
        <v>1</v>
      </c>
      <c r="I64">
        <v>12</v>
      </c>
      <c r="J64">
        <v>8</v>
      </c>
      <c r="K64">
        <v>3</v>
      </c>
      <c r="L64">
        <v>7702.3579735064404</v>
      </c>
      <c r="M64">
        <v>84.384523000000002</v>
      </c>
      <c r="N64">
        <v>7347.9748003144005</v>
      </c>
      <c r="O64">
        <v>77.232389999999995</v>
      </c>
      <c r="P64">
        <v>1</v>
      </c>
      <c r="Q64">
        <v>3.0029302348812001E-2</v>
      </c>
      <c r="R64">
        <v>4.3484322363864902E-2</v>
      </c>
      <c r="S64">
        <v>-9.6681680298132303E-2</v>
      </c>
    </row>
    <row r="65" spans="1:19" x14ac:dyDescent="0.25">
      <c r="A65" t="s">
        <v>47</v>
      </c>
      <c r="B65">
        <v>9760.7999999999993</v>
      </c>
      <c r="C65">
        <v>66401.399999999994</v>
      </c>
      <c r="D65">
        <v>138143</v>
      </c>
      <c r="E65">
        <v>3</v>
      </c>
      <c r="F65">
        <v>10</v>
      </c>
      <c r="G65">
        <v>14</v>
      </c>
      <c r="H65">
        <v>1</v>
      </c>
      <c r="I65">
        <v>12</v>
      </c>
      <c r="J65">
        <v>6</v>
      </c>
      <c r="K65">
        <v>3</v>
      </c>
      <c r="L65">
        <v>7702.3579735064404</v>
      </c>
      <c r="M65">
        <v>84.384523000000002</v>
      </c>
      <c r="N65">
        <v>6517.1718554854197</v>
      </c>
      <c r="O65">
        <v>104.227051</v>
      </c>
      <c r="P65">
        <v>1</v>
      </c>
      <c r="Q65">
        <v>3.1124298840799799E-2</v>
      </c>
      <c r="R65">
        <v>0.15067636732873499</v>
      </c>
      <c r="S65">
        <v>-8.43216567750672E-2</v>
      </c>
    </row>
    <row r="66" spans="1:19" x14ac:dyDescent="0.25">
      <c r="A66" t="s">
        <v>48</v>
      </c>
      <c r="B66">
        <v>14735.3</v>
      </c>
      <c r="C66">
        <v>7934.3</v>
      </c>
      <c r="D66">
        <v>138143</v>
      </c>
      <c r="E66">
        <v>3</v>
      </c>
      <c r="F66">
        <v>10</v>
      </c>
      <c r="G66">
        <v>14</v>
      </c>
      <c r="H66">
        <v>1</v>
      </c>
      <c r="I66">
        <v>12</v>
      </c>
      <c r="J66">
        <v>18</v>
      </c>
      <c r="K66">
        <v>1</v>
      </c>
      <c r="L66">
        <v>2690.2793283926198</v>
      </c>
      <c r="M66">
        <v>59.718421999999997</v>
      </c>
      <c r="N66">
        <v>2690.2793283926198</v>
      </c>
      <c r="O66">
        <v>54.758572999999998</v>
      </c>
      <c r="P66">
        <v>8</v>
      </c>
      <c r="Q66">
        <v>0</v>
      </c>
      <c r="R66">
        <v>0</v>
      </c>
      <c r="S66">
        <v>-2.88920111722051E-2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P3_10_summary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2026-09-09T08:24:20Z</dcterms:created>
  <dcterms:modified xsi:type="dcterms:W3CDTF">2026-09-09T08:24:20Z</dcterms:modified>
</cp:coreProperties>
</file>